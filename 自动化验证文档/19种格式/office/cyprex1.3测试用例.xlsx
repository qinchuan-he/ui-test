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7065" activeTab="5"/>
  </bookViews>
  <sheets>
    <sheet name="总计" sheetId="5" r:id="rId1"/>
    <sheet name="修复" sheetId="3" r:id="rId2"/>
    <sheet name="pc端" sheetId="1" r:id="rId3"/>
    <sheet name="口头告知问题" sheetId="2" r:id="rId4"/>
    <sheet name="H5" sheetId="4" r:id="rId5"/>
    <sheet name="pc端回归" sheetId="6" r:id="rId6"/>
  </sheets>
  <calcPr calcId="152511" concurrentCalc="0"/>
</workbook>
</file>

<file path=xl/calcChain.xml><?xml version="1.0" encoding="utf-8"?>
<calcChain xmlns="http://schemas.openxmlformats.org/spreadsheetml/2006/main">
  <c r="H8" i="5" l="1"/>
  <c r="G8" i="5"/>
  <c r="F8" i="5"/>
  <c r="G7" i="5"/>
  <c r="E8" i="5"/>
  <c r="I8" i="5"/>
  <c r="E7" i="5"/>
  <c r="F7" i="5"/>
  <c r="H7" i="5"/>
  <c r="J8" i="5"/>
  <c r="G9" i="5"/>
  <c r="H9" i="5"/>
  <c r="E9" i="5"/>
  <c r="F9" i="5"/>
  <c r="J7" i="5"/>
  <c r="I7" i="5"/>
  <c r="J9" i="5"/>
  <c r="I9" i="5"/>
</calcChain>
</file>

<file path=xl/sharedStrings.xml><?xml version="1.0" encoding="utf-8"?>
<sst xmlns="http://schemas.openxmlformats.org/spreadsheetml/2006/main" count="950" uniqueCount="392">
  <si>
    <t>序号</t>
    <phoneticPr fontId="1" type="noConversion"/>
  </si>
  <si>
    <t>测试标题</t>
    <phoneticPr fontId="1" type="noConversion"/>
  </si>
  <si>
    <t>二轮是否通过</t>
    <phoneticPr fontId="1" type="noConversion"/>
  </si>
  <si>
    <t>二轮执行时间</t>
    <phoneticPr fontId="1" type="noConversion"/>
  </si>
  <si>
    <t>三轮是否通过</t>
    <phoneticPr fontId="1" type="noConversion"/>
  </si>
  <si>
    <t>三轮执行时间</t>
    <phoneticPr fontId="1" type="noConversion"/>
  </si>
  <si>
    <t>测试项</t>
    <phoneticPr fontId="1" type="noConversion"/>
  </si>
  <si>
    <t>测试前置条件</t>
    <phoneticPr fontId="1" type="noConversion"/>
  </si>
  <si>
    <t>实际测试结果</t>
    <phoneticPr fontId="1" type="noConversion"/>
  </si>
  <si>
    <t>测试子项</t>
    <phoneticPr fontId="1" type="noConversion"/>
  </si>
  <si>
    <t>优先级</t>
    <phoneticPr fontId="1" type="noConversion"/>
  </si>
  <si>
    <t>测试摘要</t>
    <phoneticPr fontId="1" type="noConversion"/>
  </si>
  <si>
    <t>测试操作步骤</t>
    <phoneticPr fontId="1" type="noConversion"/>
  </si>
  <si>
    <t>预计结果</t>
    <phoneticPr fontId="1" type="noConversion"/>
  </si>
  <si>
    <t>正例/反例</t>
    <phoneticPr fontId="1" type="noConversion"/>
  </si>
  <si>
    <t>是否通过</t>
    <phoneticPr fontId="1" type="noConversion"/>
  </si>
  <si>
    <t>执行时间</t>
    <phoneticPr fontId="1" type="noConversion"/>
  </si>
  <si>
    <t>用例执行汇总</t>
    <phoneticPr fontId="1" type="noConversion"/>
  </si>
  <si>
    <t>模块</t>
    <phoneticPr fontId="1" type="noConversion"/>
  </si>
  <si>
    <t>用例条数</t>
    <phoneticPr fontId="1" type="noConversion"/>
  </si>
  <si>
    <t>已执行</t>
    <phoneticPr fontId="1" type="noConversion"/>
  </si>
  <si>
    <t>通过</t>
    <phoneticPr fontId="1" type="noConversion"/>
  </si>
  <si>
    <t>失败</t>
    <phoneticPr fontId="1" type="noConversion"/>
  </si>
  <si>
    <t>执行率</t>
    <phoneticPr fontId="1" type="noConversion"/>
  </si>
  <si>
    <t>通过率</t>
    <phoneticPr fontId="1" type="noConversion"/>
  </si>
  <si>
    <t>总计</t>
    <phoneticPr fontId="1" type="noConversion"/>
  </si>
  <si>
    <t>修复遗留</t>
    <phoneticPr fontId="1" type="noConversion"/>
  </si>
  <si>
    <t>pc端</t>
    <phoneticPr fontId="1" type="noConversion"/>
  </si>
  <si>
    <t>注册</t>
    <phoneticPr fontId="1" type="noConversion"/>
  </si>
  <si>
    <t>1.注册成功，显示个人信息
2.注册成功，无个人信息，可设置密码</t>
    <phoneticPr fontId="1" type="noConversion"/>
  </si>
  <si>
    <t>企业微信登录</t>
    <phoneticPr fontId="1" type="noConversion"/>
  </si>
  <si>
    <t>钉钉登录</t>
    <phoneticPr fontId="1" type="noConversion"/>
  </si>
  <si>
    <t>手机验证码登录</t>
    <phoneticPr fontId="1" type="noConversion"/>
  </si>
  <si>
    <t>邮箱登录</t>
    <phoneticPr fontId="1" type="noConversion"/>
  </si>
  <si>
    <t>手机号登录</t>
    <phoneticPr fontId="1" type="noConversion"/>
  </si>
  <si>
    <t>手机登录</t>
    <phoneticPr fontId="1" type="noConversion"/>
  </si>
  <si>
    <t>被动注册</t>
    <phoneticPr fontId="1" type="noConversion"/>
  </si>
  <si>
    <t>登录</t>
    <phoneticPr fontId="1" type="noConversion"/>
  </si>
  <si>
    <t>邀请被动注册</t>
    <phoneticPr fontId="1" type="noConversion"/>
  </si>
  <si>
    <t>邀请登录</t>
    <phoneticPr fontId="1" type="noConversion"/>
  </si>
  <si>
    <t>加入团队成功</t>
    <phoneticPr fontId="1" type="noConversion"/>
  </si>
  <si>
    <t>满足加入条件</t>
    <phoneticPr fontId="1" type="noConversion"/>
  </si>
  <si>
    <t>新建文件夹</t>
    <phoneticPr fontId="1" type="noConversion"/>
  </si>
  <si>
    <t>私有中新建</t>
    <phoneticPr fontId="1" type="noConversion"/>
  </si>
  <si>
    <t>底稿中新建</t>
    <phoneticPr fontId="1" type="noConversion"/>
  </si>
  <si>
    <t>团队中新建</t>
    <phoneticPr fontId="1" type="noConversion"/>
  </si>
  <si>
    <t>我的中新建</t>
    <phoneticPr fontId="1" type="noConversion"/>
  </si>
  <si>
    <t>重命名文件夹</t>
    <phoneticPr fontId="1" type="noConversion"/>
  </si>
  <si>
    <t>私有中重命名</t>
  </si>
  <si>
    <t>底稿中重命名</t>
  </si>
  <si>
    <t>团队中重命名</t>
  </si>
  <si>
    <t>查看图标，预览</t>
    <phoneticPr fontId="1" type="noConversion"/>
  </si>
  <si>
    <t>新建txt</t>
    <phoneticPr fontId="1" type="noConversion"/>
  </si>
  <si>
    <t>检查编辑搜索</t>
    <phoneticPr fontId="1" type="noConversion"/>
  </si>
  <si>
    <t>新建word</t>
    <phoneticPr fontId="1" type="noConversion"/>
  </si>
  <si>
    <t>文件</t>
    <phoneticPr fontId="1" type="noConversion"/>
  </si>
  <si>
    <t>编辑文件</t>
    <phoneticPr fontId="1" type="noConversion"/>
  </si>
  <si>
    <t>上传编辑</t>
    <phoneticPr fontId="1" type="noConversion"/>
  </si>
  <si>
    <t>编辑之后预览</t>
    <phoneticPr fontId="1" type="noConversion"/>
  </si>
  <si>
    <t>搜索文件</t>
    <phoneticPr fontId="1" type="noConversion"/>
  </si>
  <si>
    <t>搜索历史验证</t>
    <phoneticPr fontId="1" type="noConversion"/>
  </si>
  <si>
    <t>选中输入框，不输入内容有搜索记录</t>
    <phoneticPr fontId="1" type="noConversion"/>
  </si>
  <si>
    <t>下载文件</t>
    <phoneticPr fontId="1" type="noConversion"/>
  </si>
  <si>
    <t>重命名文件</t>
    <phoneticPr fontId="1" type="noConversion"/>
  </si>
  <si>
    <t>重命名之后能搜索到</t>
    <phoneticPr fontId="1" type="noConversion"/>
  </si>
  <si>
    <t>文件分享给团队</t>
    <phoneticPr fontId="1" type="noConversion"/>
  </si>
  <si>
    <t>移动</t>
    <phoneticPr fontId="1" type="noConversion"/>
  </si>
  <si>
    <t>预览收藏</t>
    <phoneticPr fontId="1" type="noConversion"/>
  </si>
  <si>
    <t>下载</t>
    <phoneticPr fontId="1" type="noConversion"/>
  </si>
  <si>
    <t>移动私有</t>
    <phoneticPr fontId="1" type="noConversion"/>
  </si>
  <si>
    <t>移动团队</t>
    <phoneticPr fontId="1" type="noConversion"/>
  </si>
  <si>
    <t>验证移动范围，和同级，上下级移动</t>
    <phoneticPr fontId="1" type="noConversion"/>
  </si>
  <si>
    <t>搜索补全</t>
    <phoneticPr fontId="1" type="noConversion"/>
  </si>
  <si>
    <t>团队</t>
    <phoneticPr fontId="1" type="noConversion"/>
  </si>
  <si>
    <t>团队创建、重命名、解散</t>
    <phoneticPr fontId="1" type="noConversion"/>
  </si>
  <si>
    <t>我的</t>
    <phoneticPr fontId="1" type="noConversion"/>
  </si>
  <si>
    <t>1.手机注册，设置个人信息，修改密码，重新登录，激活游戏，邮箱登录
2.手机注册，跳过个人信息，设置密码，密码登录，邮箱登录（未激活）</t>
    <phoneticPr fontId="1" type="noConversion"/>
  </si>
  <si>
    <t>解绑，绑定第三方</t>
    <phoneticPr fontId="1" type="noConversion"/>
  </si>
  <si>
    <t>设置邮箱存在问题</t>
    <phoneticPr fontId="1" type="noConversion"/>
  </si>
  <si>
    <t>不能加入团队</t>
    <phoneticPr fontId="1" type="noConversion"/>
  </si>
  <si>
    <t>容量</t>
    <phoneticPr fontId="1" type="noConversion"/>
  </si>
  <si>
    <t>私有容量</t>
    <phoneticPr fontId="1" type="noConversion"/>
  </si>
  <si>
    <t>团队容量</t>
    <phoneticPr fontId="1" type="noConversion"/>
  </si>
  <si>
    <t>页面容量显示</t>
    <phoneticPr fontId="1" type="noConversion"/>
  </si>
  <si>
    <t>1.进入私有资源根目录
2.进入私有资源子目录
3.进入底稿根目录
4.进入底稿子目录</t>
    <phoneticPr fontId="1" type="noConversion"/>
  </si>
  <si>
    <t>分享</t>
  </si>
  <si>
    <t>容量准确性验证</t>
    <phoneticPr fontId="1" type="noConversion"/>
  </si>
  <si>
    <t>新注册用户</t>
    <phoneticPr fontId="1" type="noConversion"/>
  </si>
  <si>
    <t>1.上传10M文件
2.删除2M文件
3.新增1M文件
4.资源达到250M
5.资源达到500M
6.资源为0M
7.底稿上传文件</t>
    <phoneticPr fontId="1" type="noConversion"/>
  </si>
  <si>
    <t>1.显示10M，剩余490M
2.显示2M，剩余498M
3.显示3M，剩余497M
4.显示正确，图像百分比展示正确
5.显示正确，图像百分比展示正确
6.显示正确，图像百分比展示正确
7.算入私有资源容量</t>
    <phoneticPr fontId="1" type="noConversion"/>
  </si>
  <si>
    <t>1.上传成功
2.上传成功
3.上传失败，弹框提示</t>
    <phoneticPr fontId="1" type="noConversion"/>
  </si>
  <si>
    <t>上传文件（边界值）</t>
    <phoneticPr fontId="1" type="noConversion"/>
  </si>
  <si>
    <t>上传失败弹框</t>
    <phoneticPr fontId="1" type="noConversion"/>
  </si>
  <si>
    <t>检查界和按钮</t>
    <phoneticPr fontId="1" type="noConversion"/>
  </si>
  <si>
    <t>界面和UI设计一致，按钮功能正常</t>
    <phoneticPr fontId="1" type="noConversion"/>
  </si>
  <si>
    <t>新建文件</t>
    <phoneticPr fontId="1" type="noConversion"/>
  </si>
  <si>
    <t>修改文件</t>
    <phoneticPr fontId="1" type="noConversion"/>
  </si>
  <si>
    <t>解压</t>
    <phoneticPr fontId="1" type="noConversion"/>
  </si>
  <si>
    <t>1.修改成功，保存后变化对应使用容量
2.修改成功，保存后变化对应使用容量
3.修改成功，达到上限后出提示‘私有空间容量不⾜，不能保存⽂档’
4.能修改，删除可保存，增加内容达到上限会出提示‘私有空间容量不⾜，不能保存⽂档’</t>
    <phoneticPr fontId="1" type="noConversion"/>
  </si>
  <si>
    <t>收藏</t>
    <phoneticPr fontId="1" type="noConversion"/>
  </si>
  <si>
    <t>1.上传容量小于剩余容量
2.上传容量等于剩余容量
3.上传容量大于剩余容量</t>
    <phoneticPr fontId="1" type="noConversion"/>
  </si>
  <si>
    <t>1.收藏文件小于剩余容量
2.收藏文件等于剩余容量
3.收藏文件大于剩余容量</t>
    <phoneticPr fontId="1" type="noConversion"/>
  </si>
  <si>
    <t>1.收藏成功
2.收藏成功
3.收藏失败，提示‘收藏失败，私有空间不⾜’</t>
    <phoneticPr fontId="1" type="noConversion"/>
  </si>
  <si>
    <t>1.解压文件小于剩余容量
2.解压文件等于剩余容量
3.解压文件大于剩余容量</t>
  </si>
  <si>
    <t>1.解压成功
2.解压成功
3.解压失败，提示‘解压失败，私有空间不⾜’</t>
  </si>
  <si>
    <t>1.新增批注小于剩余容量
2.新增批注等于剩余容量
3.新增批注大于剩余容量</t>
  </si>
  <si>
    <t>1.添加批注成功
2.添加批注成功
3.批注失败，提示‘批注失败，私有空间不⾜’</t>
    <phoneticPr fontId="1" type="noConversion"/>
  </si>
  <si>
    <t>默认展示</t>
    <phoneticPr fontId="1" type="noConversion"/>
  </si>
  <si>
    <t>新注册用户</t>
    <phoneticPr fontId="1" type="noConversion"/>
  </si>
  <si>
    <t>1.进入私有资源根目录
2.进入私有资源子目录
3.进入底稿根目录
4.进入底稿子目录
5.进入预览界面
6.进入编辑界面
7.进入我的页面
8.进入我的团队页面及其子页面</t>
    <phoneticPr fontId="1" type="noConversion"/>
  </si>
  <si>
    <t>显示可用容量500M，图标显示正确</t>
    <phoneticPr fontId="1" type="noConversion"/>
  </si>
  <si>
    <t>用户创建团队</t>
    <phoneticPr fontId="1" type="noConversion"/>
  </si>
  <si>
    <t>1.进入资源团队目录
2.进入团队根目录
3.进入团队子目录（新建空目录）</t>
    <phoneticPr fontId="1" type="noConversion"/>
  </si>
  <si>
    <t>1.不显示容量
2.显示容量2G
3.显示容量2G</t>
    <phoneticPr fontId="1" type="noConversion"/>
  </si>
  <si>
    <t>1.进入团队根目录
2.进入团队子目录（存在目录）</t>
    <phoneticPr fontId="1" type="noConversion"/>
  </si>
  <si>
    <t>1.右下角显示私有资源容量使用情况（总体）
2.右下角显示私有资源容量使用情况（总体）
3.右下角显示私有资源容量使用情况（总体）
4.右下角显示私有资源容量使用情况（总体）
5.不显示容量使用情况
6.不显示容量使用情况
7.不显示容量使用情况
8.不显示容量使用情况</t>
    <phoneticPr fontId="1" type="noConversion"/>
  </si>
  <si>
    <t>1.右下角显示团队资源容量使用情况（总体）
2.右下角显示团队资源容量使用情况（总体）</t>
    <phoneticPr fontId="1" type="noConversion"/>
  </si>
  <si>
    <t>1.上传10M文件
2.删除2M文件
3.新增1M文件
4.资源达到1G
5.资源达到2G
6.资源为0M
7.底稿上传文件</t>
  </si>
  <si>
    <t>1.分享文件小于剩余容量
2.分享文件等于剩余容量
3.分享文件大于剩余容量</t>
  </si>
  <si>
    <t>1.分享成功
2.分享成功
3.分享失败，提示‘分享失败，私有空间不⾜’</t>
  </si>
  <si>
    <t>各种格式批注验证</t>
    <phoneticPr fontId="1" type="noConversion"/>
  </si>
  <si>
    <t>各种格式上传验证</t>
    <phoneticPr fontId="1" type="noConversion"/>
  </si>
  <si>
    <t>删除文件</t>
    <phoneticPr fontId="1" type="noConversion"/>
  </si>
  <si>
    <t>减少相应容量</t>
    <phoneticPr fontId="1" type="noConversion"/>
  </si>
  <si>
    <t>删除文件、文件夹</t>
    <phoneticPr fontId="1" type="noConversion"/>
  </si>
  <si>
    <t>上传功能</t>
    <phoneticPr fontId="1" type="noConversion"/>
  </si>
  <si>
    <t>底稿上传</t>
    <phoneticPr fontId="1" type="noConversion"/>
  </si>
  <si>
    <t>私有资源上传</t>
    <phoneticPr fontId="1" type="noConversion"/>
  </si>
  <si>
    <t>团队资源上传</t>
    <phoneticPr fontId="1" type="noConversion"/>
  </si>
  <si>
    <t>上传验证</t>
    <phoneticPr fontId="1" type="noConversion"/>
  </si>
  <si>
    <t>上传（13种类型+音频4种）</t>
    <phoneticPr fontId="1" type="noConversion"/>
  </si>
  <si>
    <t>上传（13种类型+音频4种）</t>
    <phoneticPr fontId="1" type="noConversion"/>
  </si>
  <si>
    <t>上传（13种类型+音频4种）</t>
    <phoneticPr fontId="1" type="noConversion"/>
  </si>
  <si>
    <t>非资源页上传</t>
    <phoneticPr fontId="1" type="noConversion"/>
  </si>
  <si>
    <t>处于非资源页</t>
    <phoneticPr fontId="1" type="noConversion"/>
  </si>
  <si>
    <t>1.上传界面和UI设计一致
2.上传成功，上传功能正常，路径是私有根目录</t>
    <phoneticPr fontId="1" type="noConversion"/>
  </si>
  <si>
    <t>1.上传界面和UI设计一致
2.上传成功，上传功能正常，路径是当前目录</t>
    <phoneticPr fontId="1" type="noConversion"/>
  </si>
  <si>
    <t>批注</t>
    <phoneticPr fontId="1" type="noConversion"/>
  </si>
  <si>
    <t>私有资源批注</t>
    <phoneticPr fontId="1" type="noConversion"/>
  </si>
  <si>
    <t>增删改批注功能正常</t>
    <phoneticPr fontId="1" type="noConversion"/>
  </si>
  <si>
    <t>团队资源批注</t>
    <phoneticPr fontId="1" type="noConversion"/>
  </si>
  <si>
    <t>私有批注验证</t>
    <phoneticPr fontId="1" type="noConversion"/>
  </si>
  <si>
    <t>1.批注作者验证
2.批注时间验证
3.批注内容验证
4.批注新增验证
5.批注修改验证
6.批注删除验证</t>
    <phoneticPr fontId="1" type="noConversion"/>
  </si>
  <si>
    <t>1.不显示批注作者
2.批注时间为保存时系统时间
3.批注内容显示正确
4.可以新增批注
5.不能修改批注
6.可以删除批注</t>
    <phoneticPr fontId="1" type="noConversion"/>
  </si>
  <si>
    <t>编辑批注显示隐藏验证</t>
    <phoneticPr fontId="1" type="noConversion"/>
  </si>
  <si>
    <t>预览批注显示隐藏验证</t>
    <phoneticPr fontId="1" type="noConversion"/>
  </si>
  <si>
    <t>1.进入编辑界面，隐藏批注，验证按钮功能
2.进入编辑界面，显示批注，验证按钮功能</t>
    <phoneticPr fontId="1" type="noConversion"/>
  </si>
  <si>
    <t>界面显示功能正常，按钮功能正常</t>
    <phoneticPr fontId="1" type="noConversion"/>
  </si>
  <si>
    <t>1.进入预览界面，隐藏批注，验证按钮功能
2.进入预览界面，显示批注，验证按钮功能</t>
  </si>
  <si>
    <t>预览新增批注（各种类型）</t>
    <phoneticPr fontId="1" type="noConversion"/>
  </si>
  <si>
    <t>1.新增批注少于140字，验证保存和取消按钮
2.新增批注等于140字，验证保存和取消按钮
3.新增批注大于140字，验证保存和取消按钮</t>
    <phoneticPr fontId="1" type="noConversion"/>
  </si>
  <si>
    <t>1.新增批注少于140字，验证保存和取消按钮
2.新增批注等于140字，验证保存和取消按钮
3.新增批注大于140字，验证保存和取消按钮</t>
    <phoneticPr fontId="1" type="noConversion"/>
  </si>
  <si>
    <t>1.新增成功，按钮功能正常
2.新增成功，按钮功能正常
3.新增失败，按钮功能正常</t>
    <phoneticPr fontId="1" type="noConversion"/>
  </si>
  <si>
    <t>私有批注</t>
    <phoneticPr fontId="1" type="noConversion"/>
  </si>
  <si>
    <t>团队批注</t>
    <phoneticPr fontId="1" type="noConversion"/>
  </si>
  <si>
    <t>预览优化</t>
    <phoneticPr fontId="1" type="noConversion"/>
  </si>
  <si>
    <t>编辑优化</t>
    <phoneticPr fontId="1" type="noConversion"/>
  </si>
  <si>
    <t>解压缩文件</t>
    <phoneticPr fontId="1" type="noConversion"/>
  </si>
  <si>
    <t>私有资源预览</t>
    <phoneticPr fontId="1" type="noConversion"/>
  </si>
  <si>
    <t>团队资源预览</t>
    <phoneticPr fontId="1" type="noConversion"/>
  </si>
  <si>
    <t>市场资源预览</t>
    <phoneticPr fontId="1" type="noConversion"/>
  </si>
  <si>
    <t>预览各种类型团队资源（17种）</t>
    <phoneticPr fontId="1" type="noConversion"/>
  </si>
  <si>
    <t>预览各种类型市场资源（17种）</t>
    <phoneticPr fontId="1" type="noConversion"/>
  </si>
  <si>
    <t>预览各种类型私有资源（15种）</t>
    <phoneticPr fontId="1" type="noConversion"/>
  </si>
  <si>
    <t>1.除压缩包均预览成功，预览界面和设计稿一致
2.收藏按钮置灰，显示标签和批注，并可编辑
3.根据文件类型置灰或高亮编辑按钮
4.可下载，下载内容无批注
5.图片可放大缩小，窗口大小为1000*600
6.音频预览右下角显示，滚动显示名字</t>
    <phoneticPr fontId="1" type="noConversion"/>
  </si>
  <si>
    <t>1.除压缩包均预览成功，预览界面和设计稿一致
2.编辑按钮置灰，收藏按钮高亮，无标签
3.可显示、隐藏添加批注
4.批注按照时间倒叙排序，并显示相关信息
5.可下载，下载内容无批注
6.图片可放大缩小，窗口大小为1000*600
7.音频预览右下角显示，滚动显示名字</t>
    <phoneticPr fontId="1" type="noConversion"/>
  </si>
  <si>
    <t>1.编辑布局验证
2.边写边搜验证
3.批注功能验证
4.双屏模式和左右切换的图标验证
5.自动保存验证（15秒保存一次30分钟提示一次，突然退出不提示）</t>
    <phoneticPr fontId="1" type="noConversion"/>
  </si>
  <si>
    <t>所有功能均正常（边写边搜展示变更且和批注功能互斥，标签功能未改变）</t>
    <phoneticPr fontId="1" type="noConversion"/>
  </si>
  <si>
    <t>用户画像</t>
    <phoneticPr fontId="1" type="noConversion"/>
  </si>
  <si>
    <t>团队</t>
    <phoneticPr fontId="1" type="noConversion"/>
  </si>
  <si>
    <t>团队界面优化</t>
    <phoneticPr fontId="1" type="noConversion"/>
  </si>
  <si>
    <t>团队邀请</t>
    <phoneticPr fontId="1" type="noConversion"/>
  </si>
  <si>
    <t>登录系统</t>
    <phoneticPr fontId="1" type="noConversion"/>
  </si>
  <si>
    <t>进入我的团队</t>
    <phoneticPr fontId="1" type="noConversion"/>
  </si>
  <si>
    <t>1.团队卡片形式展示，和设计稿一致
2.团队名两行显示、最多24个字
3.显示团队参与人数</t>
    <phoneticPr fontId="1" type="noConversion"/>
  </si>
  <si>
    <t>新增团队弹框优化</t>
    <phoneticPr fontId="1" type="noConversion"/>
  </si>
  <si>
    <t>点击新建团队</t>
    <phoneticPr fontId="1" type="noConversion"/>
  </si>
  <si>
    <t>进入我的团队（团队未达上限）</t>
    <phoneticPr fontId="1" type="noConversion"/>
  </si>
  <si>
    <t>修改团队名提示</t>
    <phoneticPr fontId="1" type="noConversion"/>
  </si>
  <si>
    <t>退出团队提示</t>
    <phoneticPr fontId="1" type="noConversion"/>
  </si>
  <si>
    <t>移出团队成员提示</t>
    <phoneticPr fontId="1" type="noConversion"/>
  </si>
  <si>
    <t>解散团队提示</t>
    <phoneticPr fontId="1" type="noConversion"/>
  </si>
  <si>
    <t>进入团队详情（管理员）</t>
    <phoneticPr fontId="1" type="noConversion"/>
  </si>
  <si>
    <t>进入团队详情（成员）</t>
    <phoneticPr fontId="1" type="noConversion"/>
  </si>
  <si>
    <t>修改团队名</t>
  </si>
  <si>
    <t>提示‘团队名称修改成功！’</t>
    <phoneticPr fontId="1" type="noConversion"/>
  </si>
  <si>
    <t>提示‘您已退出该团队！’</t>
    <phoneticPr fontId="1" type="noConversion"/>
  </si>
  <si>
    <t>弹出移出确认弹框</t>
    <phoneticPr fontId="1" type="noConversion"/>
  </si>
  <si>
    <t>移出确认弹框</t>
    <phoneticPr fontId="1" type="noConversion"/>
  </si>
  <si>
    <t>验证弹框</t>
    <phoneticPr fontId="1" type="noConversion"/>
  </si>
  <si>
    <t>1.弹框和设计稿一致
2.弹框文案和按钮功能正常</t>
    <phoneticPr fontId="1" type="noConversion"/>
  </si>
  <si>
    <t>弹出解散团队确认弹框</t>
    <phoneticPr fontId="1" type="noConversion"/>
  </si>
  <si>
    <t>解散确认弹框</t>
    <phoneticPr fontId="1" type="noConversion"/>
  </si>
  <si>
    <t>访问邀请链接，走邀请流程</t>
    <phoneticPr fontId="1" type="noConversion"/>
  </si>
  <si>
    <t>加入团队流程验证</t>
    <phoneticPr fontId="1" type="noConversion"/>
  </si>
  <si>
    <t>1.已注册已登录
2.已注册未登录
3.未注册</t>
    <phoneticPr fontId="1" type="noConversion"/>
  </si>
  <si>
    <t>访问邀请链接</t>
    <phoneticPr fontId="1" type="noConversion"/>
  </si>
  <si>
    <t>1.弹出邀请弹框，同意之后直接验证是否能加入
2.弹出邀请弹框，同意之后进入登录流程
3.弹出邀请弹框，同意之后进入注册流程</t>
    <phoneticPr fontId="1" type="noConversion"/>
  </si>
  <si>
    <t>邀请弹框验证</t>
    <phoneticPr fontId="1" type="noConversion"/>
  </si>
  <si>
    <t>检查邀请弹框</t>
    <phoneticPr fontId="1" type="noConversion"/>
  </si>
  <si>
    <t>加入团队验证</t>
    <phoneticPr fontId="1" type="noConversion"/>
  </si>
  <si>
    <t>弹框验证</t>
    <phoneticPr fontId="1" type="noConversion"/>
  </si>
  <si>
    <t>1.加入失败弹出链接失效弹框
2.加入失败弹出团队解散弹出
3.加入失败弹出团队满员弹框
4.加入失败弹出团队满员弹框
5.加入成功</t>
    <phoneticPr fontId="1" type="noConversion"/>
  </si>
  <si>
    <t>1.弹出链接失效弹框
2.弹出团队解散弹出
3.弹出团队满员弹框
4.弹出团队满员弹框</t>
  </si>
  <si>
    <t>验证弹框</t>
    <phoneticPr fontId="1" type="noConversion"/>
  </si>
  <si>
    <t>弹框和UI设计一致，按钮功能正常</t>
    <phoneticPr fontId="1" type="noConversion"/>
  </si>
  <si>
    <t>进入私有资源</t>
    <phoneticPr fontId="1" type="noConversion"/>
  </si>
  <si>
    <t>进入私团队资源</t>
    <phoneticPr fontId="1" type="noConversion"/>
  </si>
  <si>
    <t>私有资源解压缩（zip）</t>
    <phoneticPr fontId="1" type="noConversion"/>
  </si>
  <si>
    <t>团队资源解压缩（zip）</t>
    <phoneticPr fontId="1" type="noConversion"/>
  </si>
  <si>
    <t>点击zip压缩包</t>
    <phoneticPr fontId="1" type="noConversion"/>
  </si>
  <si>
    <t>触发解压缩，解压缩到本目录的压缩包同名文件</t>
    <phoneticPr fontId="1" type="noConversion"/>
  </si>
  <si>
    <t>压缩包包含不支持格式验证</t>
    <phoneticPr fontId="1" type="noConversion"/>
  </si>
  <si>
    <t>压缩包包含不支持格式</t>
    <phoneticPr fontId="1" type="noConversion"/>
  </si>
  <si>
    <t>解压缩成功，自动出除不支持格式，给与用户提示</t>
    <phoneticPr fontId="1" type="noConversion"/>
  </si>
  <si>
    <t>解压缩提示框验证</t>
    <phoneticPr fontId="1" type="noConversion"/>
  </si>
  <si>
    <t>点击zip压缩文件</t>
    <phoneticPr fontId="1" type="noConversion"/>
  </si>
  <si>
    <t>检查弹出提示框</t>
    <phoneticPr fontId="1" type="noConversion"/>
  </si>
  <si>
    <t>1.提示框界面和文案和设计稿一致
2.按钮功能正常</t>
    <phoneticPr fontId="1" type="noConversion"/>
  </si>
  <si>
    <t>一个文件压缩解压</t>
    <phoneticPr fontId="1" type="noConversion"/>
  </si>
  <si>
    <t>多个文件压缩解压</t>
    <phoneticPr fontId="1" type="noConversion"/>
  </si>
  <si>
    <t>单文件压缩包</t>
    <phoneticPr fontId="1" type="noConversion"/>
  </si>
  <si>
    <t>多文件压缩包</t>
    <phoneticPr fontId="1" type="noConversion"/>
  </si>
  <si>
    <t>解压压缩包</t>
    <phoneticPr fontId="1" type="noConversion"/>
  </si>
  <si>
    <t>解压成功，解压新建一和压缩包同名文件，解压文件夹在同名文件下</t>
    <phoneticPr fontId="1" type="noConversion"/>
  </si>
  <si>
    <t>个人信息</t>
    <phoneticPr fontId="1" type="noConversion"/>
  </si>
  <si>
    <t>微信绑定验证</t>
    <phoneticPr fontId="1" type="noConversion"/>
  </si>
  <si>
    <t>1.未登录已绑定
2.未登录未绑定
3.已登录未绑定
4.已登录已绑定</t>
    <phoneticPr fontId="1" type="noConversion"/>
  </si>
  <si>
    <t>1.扫码登录
2.扫码绑定、扫码绑定并加入团队
3.绑定微信
4.解绑微信</t>
    <phoneticPr fontId="1" type="noConversion"/>
  </si>
  <si>
    <t>功能都正常</t>
    <phoneticPr fontId="1" type="noConversion"/>
  </si>
  <si>
    <t>研究方向</t>
    <phoneticPr fontId="1" type="noConversion"/>
  </si>
  <si>
    <t>界面验证</t>
    <phoneticPr fontId="1" type="noConversion"/>
  </si>
  <si>
    <t>进入研究方向页面</t>
    <phoneticPr fontId="1" type="noConversion"/>
  </si>
  <si>
    <t>界面检查</t>
    <phoneticPr fontId="1" type="noConversion"/>
  </si>
  <si>
    <t>界面和设计稿一致</t>
    <phoneticPr fontId="1" type="noConversion"/>
  </si>
  <si>
    <t>所属机构</t>
    <phoneticPr fontId="1" type="noConversion"/>
  </si>
  <si>
    <t>从业时间</t>
    <phoneticPr fontId="1" type="noConversion"/>
  </si>
  <si>
    <t>和UI设计一致，单选</t>
    <phoneticPr fontId="1" type="noConversion"/>
  </si>
  <si>
    <t>研究兴趣</t>
    <phoneticPr fontId="1" type="noConversion"/>
  </si>
  <si>
    <t>从业时间验证</t>
    <phoneticPr fontId="1" type="noConversion"/>
  </si>
  <si>
    <t>研究兴趣验证</t>
    <phoneticPr fontId="1" type="noConversion"/>
  </si>
  <si>
    <t>和UI设计一致，多选</t>
    <phoneticPr fontId="1" type="noConversion"/>
  </si>
  <si>
    <t>关注行业</t>
    <phoneticPr fontId="1" type="noConversion"/>
  </si>
  <si>
    <t>最关注的个股</t>
    <phoneticPr fontId="1" type="noConversion"/>
  </si>
  <si>
    <t>私有编辑优化（txt、word）</t>
    <phoneticPr fontId="1" type="noConversion"/>
  </si>
  <si>
    <t>测试摘要</t>
    <phoneticPr fontId="1" type="noConversion"/>
  </si>
  <si>
    <t>用户登录</t>
    <phoneticPr fontId="1" type="noConversion"/>
  </si>
  <si>
    <t>1.上传成功
2.上传成功
3.上传失败，弹框提示</t>
    <phoneticPr fontId="1" type="noConversion"/>
  </si>
  <si>
    <t>上传失败弹框</t>
    <phoneticPr fontId="1" type="noConversion"/>
  </si>
  <si>
    <t>弹出上传失败弹框</t>
    <phoneticPr fontId="1" type="noConversion"/>
  </si>
  <si>
    <t>进入私有资源</t>
    <phoneticPr fontId="1" type="noConversion"/>
  </si>
  <si>
    <t>进入资源中私有、团队</t>
    <phoneticPr fontId="1" type="noConversion"/>
  </si>
  <si>
    <t>进入团队资源</t>
    <phoneticPr fontId="1" type="noConversion"/>
  </si>
  <si>
    <t>弹出上传失败弹窗</t>
    <phoneticPr fontId="1" type="noConversion"/>
  </si>
  <si>
    <t>解压缩验证</t>
    <phoneticPr fontId="1" type="noConversion"/>
  </si>
  <si>
    <t>页面刷新后，要停留在当前页面，不是跳转到dashboard</t>
    <rPh sb="0" eb="2">
      <t>ye'm</t>
    </rPh>
    <phoneticPr fontId="1" type="noConversion"/>
  </si>
  <si>
    <t>私有 团队 切换时分割线有跳动</t>
    <rPh sb="0" eb="1">
      <t>dao</t>
    </rPh>
    <phoneticPr fontId="1" type="noConversion"/>
  </si>
  <si>
    <t>返回上一层、一栏要固定在顶部  底部面包屑固定在底部    当页面高度增加时，白色底板高度要跟随变高</t>
    <rPh sb="0" eb="1">
      <t>hao</t>
    </rPh>
    <phoneticPr fontId="1" type="noConversion"/>
  </si>
  <si>
    <t>回到顶部图标，窗口高度变化时，与底部分割线固定距离，不要覆盖到私有团队一行，不要显示在白色底框外部</t>
    <rPh sb="0" eb="1">
      <t>gao</t>
    </rPh>
    <phoneticPr fontId="1" type="noConversion"/>
  </si>
  <si>
    <t>移动到有两个上下滚动条，只显示一个</t>
    <rPh sb="0" eb="2">
      <t>yi'dong</t>
    </rPh>
    <phoneticPr fontId="1" type="noConversion"/>
  </si>
  <si>
    <t>滚动条显示样式需优化，颜色过深，参考设计稿的颜色位置</t>
    <rPh sb="0" eb="2">
      <t>gun'dong</t>
    </rPh>
    <phoneticPr fontId="1" type="noConversion"/>
  </si>
  <si>
    <t>没有对文件夹、文件的名称长度做限制，参考1.3规则</t>
    <rPh sb="0" eb="25">
      <t>mie'ou</t>
    </rPh>
    <phoneticPr fontId="1" type="noConversion"/>
  </si>
  <si>
    <t>同一个文件重复添加的时候是可以进行上传的，在同一目录下禁止同名文件上传</t>
    <rPh sb="0" eb="2">
      <t>jin'zhi</t>
    </rPh>
    <phoneticPr fontId="1" type="noConversion"/>
  </si>
  <si>
    <t>新建文件夹需要系统给编号  新建文件夹1  新建文件夹2  新建文件夹3 。。。</t>
    <rPh sb="0" eb="1">
      <t>xia</t>
    </rPh>
    <phoneticPr fontId="1" type="noConversion"/>
  </si>
  <si>
    <t>新建文件  未命名文件  未命名文件1  未命名文件2 。。。</t>
    <rPh sb="0" eb="2">
      <t>xin'j</t>
    </rPh>
    <phoneticPr fontId="1" type="noConversion"/>
  </si>
  <si>
    <t>从团队收藏到私有文件如果重名 系统自动加标号  名称后加（1）（2）（3）。。。</t>
    <rPh sb="0" eb="1">
      <t>f</t>
    </rPh>
    <phoneticPr fontId="1" type="noConversion"/>
  </si>
  <si>
    <t>编辑界面 顶栏被遮挡了   顶栏是最高层级显示</t>
    <rPh sb="0" eb="2">
      <t>bian'ji</t>
    </rPh>
    <phoneticPr fontId="1" type="noConversion"/>
  </si>
  <si>
    <t>标签输入时，当超出10个字时再提醒，现在是输入了4个字就开始红色错误提示不能超过</t>
    <rPh sb="0" eb="2">
      <t>biao'q</t>
    </rPh>
    <phoneticPr fontId="1" type="noConversion"/>
  </si>
  <si>
    <t>右侧栏下面分页固定在一屏的下方，不跟随列表内容多少上下变动</t>
    <rPh sb="0" eb="29">
      <t>you'l</t>
    </rPh>
    <phoneticPr fontId="1" type="noConversion"/>
  </si>
  <si>
    <t xml:space="preserve">右侧只搜私有 不论是输入前勾选 还是搜完后勾选都能筛选出私有内容   </t>
    <rPh sb="0" eb="2">
      <t>you'ce</t>
    </rPh>
    <phoneticPr fontId="1" type="noConversion"/>
  </si>
  <si>
    <t>点击进输入框，显示了一下浮层框但是没内容    可以不显示</t>
    <rPh sb="0" eb="2">
      <t>dian'ji</t>
    </rPh>
    <phoneticPr fontId="1" type="noConversion"/>
  </si>
  <si>
    <t>历史记录、高级搜索文字位置偏高</t>
    <rPh sb="0" eb="2">
      <t>li's</t>
    </rPh>
    <phoneticPr fontId="1" type="noConversion"/>
  </si>
  <si>
    <t>搜索后  综合 私有 团队 市场 都显示为0   点击后又有数据显示</t>
    <rPh sb="0" eb="1">
      <t>gao</t>
    </rPh>
    <phoneticPr fontId="1" type="noConversion"/>
  </si>
  <si>
    <t>本文涉及公司如没有  可以不显示这行标题</t>
    <rPh sb="0" eb="2">
      <t>ben'wen</t>
    </rPh>
    <phoneticPr fontId="1" type="noConversion"/>
  </si>
  <si>
    <t>搜索文件标题、热门标签、大家都在搜  需加粗显示</t>
    <rPh sb="0" eb="2">
      <t>sou's</t>
    </rPh>
    <phoneticPr fontId="1" type="noConversion"/>
  </si>
  <si>
    <t>窗口变窄时，标签不用折行</t>
    <rPh sb="0" eb="1">
      <t>xu</t>
    </rPh>
    <phoneticPr fontId="1" type="noConversion"/>
  </si>
  <si>
    <t>来源：spider    英文改为：市场资讯</t>
    <rPh sb="0" eb="2">
      <t>lai yuan</t>
    </rPh>
    <phoneticPr fontId="1" type="noConversion"/>
  </si>
  <si>
    <t>团队界面窗口过小时，二维码折行了</t>
    <rPh sb="0" eb="1">
      <t>jian</t>
    </rPh>
    <phoneticPr fontId="1" type="noConversion"/>
  </si>
  <si>
    <t>新建团队时，没有对名称字数做限制，而在里面重命名时又提示 20个字符10个中文字，需要统一限制，按照1.3的字数规定来。</t>
    <rPh sb="0" eb="60">
      <t>taun d</t>
    </rPh>
    <phoneticPr fontId="1" type="noConversion"/>
  </si>
  <si>
    <t>勾选成员 勾选框与其他不一致</t>
    <rPh sb="0" eb="1">
      <t>bu</t>
    </rPh>
    <phoneticPr fontId="1" type="noConversion"/>
  </si>
  <si>
    <t>我的头像在苹果笔记本上显示是方的，台式机显示正常</t>
    <rPh sb="0" eb="2">
      <t>wo'd</t>
    </rPh>
    <phoneticPr fontId="1" type="noConversion"/>
  </si>
  <si>
    <t>修改名字  点击后按钮转为保存修改</t>
    <rPh sb="0" eb="1">
      <t>xiu</t>
    </rPh>
    <phoneticPr fontId="1" type="noConversion"/>
  </si>
  <si>
    <t>点击修改邮箱，还没有改原来的邮箱，就提示邮箱格式不正确，请重新输入（无法重现）</t>
    <rPh sb="0" eb="2">
      <t>dian'ji</t>
    </rPh>
    <phoneticPr fontId="1" type="noConversion"/>
  </si>
  <si>
    <t>弹框错误提示，在输入框中点了一下 还没有输入时 不用出错误提示</t>
    <rPh sb="0" eb="31">
      <t>ti s</t>
    </rPh>
    <phoneticPr fontId="1" type="noConversion"/>
  </si>
  <si>
    <t>弹框  确定取消按钮要对齐</t>
    <rPh sb="0" eb="1">
      <t>fe</t>
    </rPh>
    <phoneticPr fontId="1" type="noConversion"/>
  </si>
  <si>
    <t>激活邮件未改</t>
    <rPh sb="0" eb="6">
      <t>huo'h</t>
    </rPh>
    <phoneticPr fontId="1" type="noConversion"/>
  </si>
  <si>
    <t>资源私有</t>
    <rPh sb="0" eb="2">
      <t>zi'y</t>
    </rPh>
    <phoneticPr fontId="1" type="noConversion"/>
  </si>
  <si>
    <t>移动到</t>
    <rPh sb="0" eb="2">
      <t>yi'd</t>
    </rPh>
    <phoneticPr fontId="1" type="noConversion"/>
  </si>
  <si>
    <t>新建文件夹</t>
    <rPh sb="0" eb="2">
      <t>xin'j</t>
    </rPh>
    <phoneticPr fontId="1" type="noConversion"/>
  </si>
  <si>
    <t>编辑</t>
    <rPh sb="0" eb="2">
      <t>bian'ji</t>
    </rPh>
    <phoneticPr fontId="1" type="noConversion"/>
  </si>
  <si>
    <t>右侧搜索</t>
    <rPh sb="0" eb="1">
      <t>d</t>
    </rPh>
    <phoneticPr fontId="1" type="noConversion"/>
  </si>
  <si>
    <t>右侧搜索</t>
    <rPh sb="0" eb="4">
      <t>yu'ce</t>
    </rPh>
    <phoneticPr fontId="1" type="noConversion"/>
  </si>
  <si>
    <t>顶栏搜索</t>
    <rPh sb="0" eb="2">
      <t>ding'lan</t>
    </rPh>
    <phoneticPr fontId="1" type="noConversion"/>
  </si>
  <si>
    <t>团队</t>
    <rPh sb="0" eb="1">
      <t>gai</t>
    </rPh>
    <phoneticPr fontId="1" type="noConversion"/>
  </si>
  <si>
    <t>新建</t>
    <rPh sb="0" eb="1">
      <t>jia</t>
    </rPh>
    <phoneticPr fontId="1" type="noConversion"/>
  </si>
  <si>
    <t>弹框</t>
    <rPh sb="0" eb="1">
      <t>d</t>
    </rPh>
    <phoneticPr fontId="1" type="noConversion"/>
  </si>
  <si>
    <t>我的</t>
    <rPh sb="0" eb="2">
      <t>wo'd</t>
    </rPh>
    <phoneticPr fontId="1" type="noConversion"/>
  </si>
  <si>
    <t>修改邮箱</t>
    <rPh sb="0" eb="2">
      <t>xiu'g</t>
    </rPh>
    <phoneticPr fontId="1" type="noConversion"/>
  </si>
  <si>
    <t>设置密码</t>
    <rPh sb="0" eb="2">
      <t>she'z</t>
    </rPh>
    <phoneticPr fontId="1" type="noConversion"/>
  </si>
  <si>
    <t>设置密码</t>
    <rPh sb="0" eb="1">
      <t>wei</t>
    </rPh>
    <phoneticPr fontId="1" type="noConversion"/>
  </si>
  <si>
    <t>激活邮件</t>
    <rPh sb="0" eb="4">
      <t>you'j</t>
    </rPh>
    <phoneticPr fontId="1" type="noConversion"/>
  </si>
  <si>
    <t>资源</t>
    <rPh sb="0" eb="2">
      <t>zi'y</t>
    </rPh>
    <phoneticPr fontId="1" type="noConversion"/>
  </si>
  <si>
    <t>搜索</t>
    <rPh sb="0" eb="2">
      <t>sou s</t>
    </rPh>
    <phoneticPr fontId="1" type="noConversion"/>
  </si>
  <si>
    <t>团队</t>
    <rPh sb="0" eb="2">
      <t>tuan'd</t>
    </rPh>
    <phoneticPr fontId="1" type="noConversion"/>
  </si>
  <si>
    <t>与期望一致</t>
    <phoneticPr fontId="1" type="noConversion"/>
  </si>
  <si>
    <t>通过</t>
    <phoneticPr fontId="1" type="noConversion"/>
  </si>
  <si>
    <t>1.容量未达到上限，新建txt
2.容量未达到上限，新建word
3.新建txt、word之后编辑容量达到上限
4.容量达到上限新建txt、word文件</t>
  </si>
  <si>
    <t>1.新建成功，保存后增加对应使用容量
2.新建成功，保存后增加对应使用容量
3.新建成功，达到上限后出提示‘私有空间容量不⾜，不能保存⽂档’
4.不能新建‘私有空间容量不⾜，不能新建txt⽂档’</t>
  </si>
  <si>
    <t>1.容量未达到上限，修改txt
2.容量未达到上限，修改word
3.修改txt、word之后编辑容量达到上限
4.容量达到上限修改txt、word文件</t>
  </si>
  <si>
    <t>批注（txt、word、excel、ppt、pdf、png、jpg、bmp、rar、zip、html）</t>
  </si>
  <si>
    <t>上传文件（txt、word、excel、ppt、pdf、png、jpg、bmp、rar、zip、html、mp3、wav、amr、pcm）</t>
  </si>
  <si>
    <t>1.新建文件，增删改批注
2.上传txt、word、excel、ppt、pdf、png、jpg、bmp、rar、zip、html文件，增删改批注</t>
  </si>
  <si>
    <t>编辑新增批注（txt、word）</t>
  </si>
  <si>
    <t>txt、word、excel、ppt、pdf、png、jpg、bmp、rar、zip、html文件，增删改批注</t>
  </si>
  <si>
    <t>上传文件（txt、word、excel、ppt、pdf、png、jpg、bmp、rar、zip、html、mp3、wav、amr、pcm）</t>
    <phoneticPr fontId="1" type="noConversion"/>
  </si>
  <si>
    <t>1.显示10M，剩余490M
2.显示2M，剩余498M
3.显示3M，剩余497M
4.显示正确，图像百分比展示正确
5.显示正确，图像百分比展示正确
6.显示正确，图像百分比展示正确
7.算入私有资源容量</t>
    <phoneticPr fontId="1" type="noConversion"/>
  </si>
  <si>
    <t>失败</t>
    <phoneticPr fontId="1" type="noConversion"/>
  </si>
  <si>
    <t>边界值上传无弹框</t>
    <phoneticPr fontId="1" type="noConversion"/>
  </si>
  <si>
    <t>1.添加批注成功
2.添加批注成功
3.批注失败，提示‘私人空间不足，批注新增失败’</t>
    <phoneticPr fontId="1" type="noConversion"/>
  </si>
  <si>
    <t>通过</t>
    <phoneticPr fontId="1" type="noConversion"/>
  </si>
  <si>
    <t>删除资源不对</t>
    <phoneticPr fontId="1" type="noConversion"/>
  </si>
  <si>
    <t>失败</t>
    <phoneticPr fontId="1" type="noConversion"/>
  </si>
  <si>
    <t>进入有团队资源</t>
    <phoneticPr fontId="1" type="noConversion"/>
  </si>
  <si>
    <t>进入市场资源</t>
    <phoneticPr fontId="1" type="noConversion"/>
  </si>
  <si>
    <t>1.团队名称限制24个字
2.超出提示和设计稿一致，按钮置灰
3.只有有内容且满足条件，才可点击保存</t>
    <phoneticPr fontId="1" type="noConversion"/>
  </si>
  <si>
    <t>删除解压资源不对</t>
    <phoneticPr fontId="1" type="noConversion"/>
  </si>
  <si>
    <t>微信没做好</t>
    <phoneticPr fontId="1" type="noConversion"/>
  </si>
  <si>
    <t>1.除压缩包均预览成功，预览界面和设计稿一致
2.编辑按钮置灰，收藏按钮高亮，无标签
3.不可添加批注
4.批注按照时间倒叙排序，并显示相关信息
5.可下载，下载内容无批注
6.图片可放大缩小，窗口大小为1000*600
7.音频预览右下角显示，滚动显示名字</t>
    <phoneticPr fontId="1" type="noConversion"/>
  </si>
  <si>
    <t>满了以后新建出问题</t>
    <phoneticPr fontId="1" type="noConversion"/>
  </si>
  <si>
    <t>容量满了报错</t>
    <phoneticPr fontId="1" type="noConversion"/>
  </si>
  <si>
    <t>1.邀请链接失效
2.邀请团队已解散
3.邀请团队已满员
4.用户已加入团队满5个
5.用户未满5团，团队未满员</t>
    <phoneticPr fontId="1" type="noConversion"/>
  </si>
  <si>
    <t>链接时效性验证</t>
    <phoneticPr fontId="1" type="noConversion"/>
  </si>
  <si>
    <t>1.30分钟
2.1天
3.3天
4.7天
5.30天</t>
    <phoneticPr fontId="1" type="noConversion"/>
  </si>
  <si>
    <t>时间限制功能正常</t>
    <phoneticPr fontId="1" type="noConversion"/>
  </si>
  <si>
    <t>口头告知问题</t>
    <phoneticPr fontId="1" type="noConversion"/>
  </si>
  <si>
    <t>移动文件夹方式改变，改成和移动文件一样</t>
    <phoneticPr fontId="1" type="noConversion"/>
  </si>
  <si>
    <t>激活邮件只能做一套模板，移动端和pc端还是一样</t>
    <phoneticPr fontId="1" type="noConversion"/>
  </si>
  <si>
    <t>批注（txt、word、excel、ppt、pdf、html）（图片压缩包音频不可批注）</t>
    <phoneticPr fontId="1" type="noConversion"/>
  </si>
  <si>
    <t>批注（txt、word、excel、ppt、pdf、html）</t>
    <phoneticPr fontId="1" type="noConversion"/>
  </si>
  <si>
    <t>不能改</t>
    <phoneticPr fontId="1" type="noConversion"/>
  </si>
  <si>
    <t>1.界面和UI设计一致
2.点击‘我要加入’进入加入团队流程
3.点击‘暂不加入’关闭页面</t>
  </si>
  <si>
    <t>1.输入小于20个字
2.输入等于20个字
3.输入大于20个字</t>
  </si>
  <si>
    <t>1.输入成功
2.输入成功
3.输入不成功，提示不能超过20个字
4.点击保存按钮保存</t>
  </si>
  <si>
    <t>链接时效性验证（先设置时间再点击重新生成链接）</t>
    <phoneticPr fontId="1" type="noConversion"/>
  </si>
  <si>
    <t>团队、私有、底稿、搜索预览下载</t>
    <phoneticPr fontId="1" type="noConversion"/>
  </si>
  <si>
    <t>分享+收藏</t>
    <phoneticPr fontId="1" type="noConversion"/>
  </si>
  <si>
    <t>私有分享+收藏回来</t>
    <phoneticPr fontId="1" type="noConversion"/>
  </si>
  <si>
    <t>底稿分享+收藏回来</t>
    <phoneticPr fontId="1" type="noConversion"/>
  </si>
  <si>
    <t>文件，文件夹的分享收藏</t>
    <phoneticPr fontId="1" type="noConversion"/>
  </si>
  <si>
    <t>上传13中+4种音频</t>
    <phoneticPr fontId="1" type="noConversion"/>
  </si>
  <si>
    <t>私有，底稿，团队</t>
    <phoneticPr fontId="1" type="noConversion"/>
  </si>
  <si>
    <t>搜索双栏，加入底稿/碎片，切换左右，加批注</t>
    <phoneticPr fontId="1" type="noConversion"/>
  </si>
  <si>
    <t>容量</t>
    <phoneticPr fontId="1" type="noConversion"/>
  </si>
  <si>
    <t>上传文件、删除文件</t>
    <phoneticPr fontId="1" type="noConversion"/>
  </si>
  <si>
    <t>解压缩文件</t>
    <phoneticPr fontId="1" type="noConversion"/>
  </si>
  <si>
    <t>私有500M，团队2G</t>
    <phoneticPr fontId="1" type="noConversion"/>
  </si>
  <si>
    <t>容量边界验证</t>
    <phoneticPr fontId="1" type="noConversion"/>
  </si>
  <si>
    <t>上传，解压，分享，收藏，新增内容，编辑内容，新增批注</t>
    <phoneticPr fontId="1" type="noConversion"/>
  </si>
  <si>
    <t>批注</t>
    <phoneticPr fontId="1" type="noConversion"/>
  </si>
  <si>
    <t>私有中除去图片音频的批注</t>
    <phoneticPr fontId="1" type="noConversion"/>
  </si>
  <si>
    <t>分享，批注共享/不共享</t>
    <phoneticPr fontId="1" type="noConversion"/>
  </si>
  <si>
    <t>团队中批注相互编辑</t>
    <phoneticPr fontId="1" type="noConversion"/>
  </si>
  <si>
    <t>管理员权限，收藏批注的展示删除权限</t>
    <phoneticPr fontId="1" type="noConversion"/>
  </si>
  <si>
    <t>底稿中批注</t>
    <phoneticPr fontId="1" type="noConversion"/>
  </si>
  <si>
    <t>底稿，私有</t>
    <phoneticPr fontId="1" type="noConversion"/>
  </si>
  <si>
    <t>新增重名文件</t>
    <phoneticPr fontId="1" type="noConversion"/>
  </si>
  <si>
    <t>修改</t>
    <phoneticPr fontId="1" type="noConversion"/>
  </si>
  <si>
    <t>底稿，私有，团队</t>
    <phoneticPr fontId="1" type="noConversion"/>
  </si>
  <si>
    <t>编辑中修改和列表修改</t>
    <phoneticPr fontId="1" type="noConversion"/>
  </si>
  <si>
    <t>搜索结果批注查看和新增</t>
    <phoneticPr fontId="1" type="noConversion"/>
  </si>
  <si>
    <t>搜索结果中</t>
    <phoneticPr fontId="1" type="noConversion"/>
  </si>
  <si>
    <t>分享重名</t>
    <phoneticPr fontId="1" type="noConversion"/>
  </si>
  <si>
    <t>收藏重名</t>
    <phoneticPr fontId="1" type="noConversion"/>
  </si>
  <si>
    <t>移动重名</t>
    <phoneticPr fontId="1" type="noConversion"/>
  </si>
  <si>
    <t>移动底稿</t>
    <phoneticPr fontId="1" type="noConversion"/>
  </si>
  <si>
    <t>文件、文件夹</t>
    <phoneticPr fontId="1" type="noConversion"/>
  </si>
  <si>
    <t>能预览搜索文件，来源，收藏正确，下载</t>
    <phoneticPr fontId="1" type="noConversion"/>
  </si>
  <si>
    <t>搜索切换页码ok</t>
    <phoneticPr fontId="1" type="noConversion"/>
  </si>
  <si>
    <t>验证非资源页新建</t>
    <phoneticPr fontId="1" type="noConversion"/>
  </si>
  <si>
    <t>通过</t>
    <phoneticPr fontId="1" type="noConversion"/>
  </si>
  <si>
    <t>重名文件改名后，名字是否可用</t>
    <phoneticPr fontId="1" type="noConversion"/>
  </si>
  <si>
    <t>通过</t>
    <phoneticPr fontId="1" type="noConversion"/>
  </si>
  <si>
    <t>通过</t>
    <phoneticPr fontId="1" type="noConversion"/>
  </si>
  <si>
    <t>通过</t>
    <phoneticPr fontId="1" type="noConversion"/>
  </si>
  <si>
    <t>新建的编辑</t>
    <phoneticPr fontId="1" type="noConversion"/>
  </si>
  <si>
    <t>边写边搜</t>
    <phoneticPr fontId="1" type="noConversion"/>
  </si>
  <si>
    <t>通过</t>
    <phoneticPr fontId="1" type="noConversion"/>
  </si>
  <si>
    <t>通过</t>
    <phoneticPr fontId="1" type="noConversion"/>
  </si>
  <si>
    <t>通过</t>
    <phoneticPr fontId="1" type="noConversion"/>
  </si>
  <si>
    <t>通过</t>
    <phoneticPr fontId="1" type="noConversion"/>
  </si>
  <si>
    <t>重名文件/文件夹</t>
    <phoneticPr fontId="1" type="noConversion"/>
  </si>
  <si>
    <t>通过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</si>
</sst>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color theme="1"/>
      <name val="宋体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0" fontId="0" fillId="2" borderId="0" xfId="0" applyFill="1" applyAlignmen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1" xfId="0" applyBorder="1"/>
    <xf numFmtId="10" fontId="0" fillId="0" borderId="1" xfId="0" applyNumberFormat="1" applyBorder="1"/>
    <xf numFmtId="0" fontId="0" fillId="6" borderId="1" xfId="0" applyFill="1" applyBorder="1"/>
    <xf numFmtId="10" fontId="0" fillId="2" borderId="1" xfId="0" applyNumberFormat="1" applyFill="1" applyBorder="1"/>
    <xf numFmtId="10" fontId="0" fillId="5" borderId="1" xfId="0" applyNumberFormat="1" applyFill="1" applyBorder="1"/>
    <xf numFmtId="0" fontId="2" fillId="0" borderId="0" xfId="1"/>
    <xf numFmtId="0" fontId="0" fillId="4" borderId="0" xfId="0" applyFill="1"/>
    <xf numFmtId="0" fontId="0" fillId="4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0" fillId="11" borderId="0" xfId="0" applyFill="1" applyAlignment="1">
      <alignment vertical="center"/>
    </xf>
    <xf numFmtId="0" fontId="0" fillId="12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11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13" borderId="0" xfId="0" applyFill="1"/>
    <xf numFmtId="0" fontId="0" fillId="13" borderId="0" xfId="0" applyFill="1" applyAlignment="1">
      <alignment vertic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5" borderId="0" xfId="0" applyFill="1"/>
    <xf numFmtId="0" fontId="0" fillId="14" borderId="0" xfId="0" applyFill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7" borderId="0" xfId="0" applyFill="1"/>
    <xf numFmtId="0" fontId="0" fillId="15" borderId="0" xfId="0" applyFill="1"/>
    <xf numFmtId="0" fontId="0" fillId="16" borderId="0" xfId="0" applyFill="1"/>
    <xf numFmtId="0" fontId="0" fillId="2" borderId="0" xfId="0" applyFill="1"/>
    <xf numFmtId="0" fontId="0" fillId="2" borderId="0" xfId="0" applyFill="1" applyAlignment="1">
      <alignment horizontal="center" vertical="top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J29"/>
  <sheetViews>
    <sheetView zoomScale="145" zoomScaleNormal="145" workbookViewId="0">
      <selection activeCell="G21" sqref="G21"/>
    </sheetView>
  </sheetViews>
  <sheetFormatPr defaultRowHeight="13.5" x14ac:dyDescent="0.15"/>
  <cols>
    <col min="4" max="4" width="14.375" customWidth="1"/>
  </cols>
  <sheetData>
    <row r="5" spans="4:10" x14ac:dyDescent="0.15">
      <c r="D5" s="34" t="s">
        <v>17</v>
      </c>
      <c r="E5" s="34"/>
      <c r="F5" s="34"/>
      <c r="G5" s="34"/>
      <c r="H5" s="34"/>
      <c r="I5" s="34"/>
      <c r="J5" s="34"/>
    </row>
    <row r="6" spans="4:10" x14ac:dyDescent="0.15">
      <c r="D6" s="8" t="s">
        <v>18</v>
      </c>
      <c r="E6" s="8" t="s">
        <v>19</v>
      </c>
      <c r="F6" s="8" t="s">
        <v>20</v>
      </c>
      <c r="G6" s="8" t="s">
        <v>21</v>
      </c>
      <c r="H6" s="8" t="s">
        <v>22</v>
      </c>
      <c r="I6" s="8" t="s">
        <v>23</v>
      </c>
      <c r="J6" s="8" t="s">
        <v>24</v>
      </c>
    </row>
    <row r="7" spans="4:10" x14ac:dyDescent="0.15">
      <c r="D7" s="8" t="s">
        <v>26</v>
      </c>
      <c r="E7" s="8">
        <f>COUNTA(修复!A2:A806)</f>
        <v>31</v>
      </c>
      <c r="F7" s="8">
        <f>E7</f>
        <v>31</v>
      </c>
      <c r="G7" s="8">
        <f>COUNTIF(修复!L2:L999,"通过")</f>
        <v>31</v>
      </c>
      <c r="H7" s="8">
        <f>COUNTIF(修复!L2:L999,"失败")</f>
        <v>0</v>
      </c>
      <c r="I7" s="9">
        <f>F7/E7</f>
        <v>1</v>
      </c>
      <c r="J7" s="9">
        <f>G7/E7</f>
        <v>1</v>
      </c>
    </row>
    <row r="8" spans="4:10" x14ac:dyDescent="0.15">
      <c r="D8" s="8" t="s">
        <v>27</v>
      </c>
      <c r="E8" s="8">
        <f>COUNTA(pc端!D2:D1015)</f>
        <v>65</v>
      </c>
      <c r="F8" s="8">
        <f>G8+H8</f>
        <v>65</v>
      </c>
      <c r="G8" s="8">
        <f>COUNTIF(pc端!N2:N1016,"通过")</f>
        <v>65</v>
      </c>
      <c r="H8" s="8">
        <f>COUNTIF(pc端!N2:N1016,"失败")</f>
        <v>0</v>
      </c>
      <c r="I8" s="9">
        <f>F8/E8</f>
        <v>1</v>
      </c>
      <c r="J8" s="9">
        <f>G8/E8</f>
        <v>1</v>
      </c>
    </row>
    <row r="9" spans="4:10" x14ac:dyDescent="0.15">
      <c r="D9" s="10" t="s">
        <v>25</v>
      </c>
      <c r="E9" s="10">
        <f>SUM(E7:E8)</f>
        <v>96</v>
      </c>
      <c r="F9" s="10">
        <f>SUM(F7:F8)</f>
        <v>96</v>
      </c>
      <c r="G9" s="10">
        <f>SUM(G7:G8)</f>
        <v>96</v>
      </c>
      <c r="H9" s="10">
        <f>SUM(H7:H8)</f>
        <v>0</v>
      </c>
      <c r="I9" s="11">
        <f>F9/E9</f>
        <v>1</v>
      </c>
      <c r="J9" s="12">
        <f>G9/E9</f>
        <v>1</v>
      </c>
    </row>
    <row r="29" spans="4:4" x14ac:dyDescent="0.15">
      <c r="D29" s="13"/>
    </row>
  </sheetData>
  <mergeCells count="1">
    <mergeCell ref="D5:J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workbookViewId="0">
      <pane ySplit="1" topLeftCell="A2" activePane="bottomLeft" state="frozen"/>
      <selection pane="bottomLeft" activeCell="D31" sqref="D31"/>
    </sheetView>
  </sheetViews>
  <sheetFormatPr defaultRowHeight="13.5" x14ac:dyDescent="0.15"/>
  <cols>
    <col min="1" max="1" width="4.75" customWidth="1"/>
    <col min="2" max="2" width="15.5" style="2" customWidth="1"/>
    <col min="3" max="3" width="17.375" customWidth="1"/>
    <col min="4" max="4" width="57.75" customWidth="1"/>
    <col min="5" max="5" width="6.25" customWidth="1"/>
    <col min="6" max="6" width="5" customWidth="1"/>
    <col min="7" max="7" width="4.25" hidden="1" customWidth="1"/>
    <col min="8" max="8" width="40.125" hidden="1" customWidth="1"/>
    <col min="9" max="9" width="17.5" hidden="1" customWidth="1"/>
    <col min="10" max="10" width="18.125" hidden="1" customWidth="1"/>
    <col min="11" max="11" width="9.75" hidden="1" customWidth="1"/>
    <col min="13" max="13" width="1.25" customWidth="1"/>
    <col min="14" max="14" width="8.375" customWidth="1"/>
    <col min="15" max="15" width="1.625" customWidth="1"/>
    <col min="16" max="16" width="13.5" customWidth="1"/>
    <col min="17" max="17" width="12.5" customWidth="1"/>
  </cols>
  <sheetData>
    <row r="1" spans="1:17" s="1" customFormat="1" x14ac:dyDescent="0.15">
      <c r="A1" s="1" t="s">
        <v>0</v>
      </c>
      <c r="B1" s="3" t="s">
        <v>6</v>
      </c>
      <c r="C1" s="1" t="s">
        <v>9</v>
      </c>
      <c r="D1" s="1" t="s">
        <v>1</v>
      </c>
      <c r="E1" s="1" t="s">
        <v>10</v>
      </c>
      <c r="F1" s="1" t="s">
        <v>11</v>
      </c>
      <c r="G1" s="1" t="s">
        <v>7</v>
      </c>
      <c r="H1" s="1" t="s">
        <v>12</v>
      </c>
      <c r="I1" s="1" t="s">
        <v>13</v>
      </c>
      <c r="J1" s="1" t="s">
        <v>8</v>
      </c>
      <c r="K1" s="1" t="s">
        <v>14</v>
      </c>
      <c r="L1" s="1" t="s">
        <v>15</v>
      </c>
      <c r="M1" s="1" t="s">
        <v>16</v>
      </c>
      <c r="N1" s="1" t="s">
        <v>2</v>
      </c>
      <c r="O1" s="1" t="s">
        <v>3</v>
      </c>
      <c r="P1" s="1" t="s">
        <v>4</v>
      </c>
      <c r="Q1" s="1" t="s">
        <v>5</v>
      </c>
    </row>
    <row r="2" spans="1:17" x14ac:dyDescent="0.15">
      <c r="A2">
        <v>1</v>
      </c>
      <c r="B2"/>
      <c r="C2" s="25" t="s">
        <v>286</v>
      </c>
      <c r="D2" s="26" t="s">
        <v>255</v>
      </c>
      <c r="L2" s="14" t="s">
        <v>319</v>
      </c>
      <c r="N2" s="14" t="s">
        <v>305</v>
      </c>
      <c r="P2" s="14" t="s">
        <v>305</v>
      </c>
    </row>
    <row r="3" spans="1:17" x14ac:dyDescent="0.15">
      <c r="A3">
        <v>2</v>
      </c>
      <c r="B3"/>
      <c r="C3" s="25"/>
      <c r="D3" s="26" t="s">
        <v>256</v>
      </c>
      <c r="L3" s="14" t="s">
        <v>319</v>
      </c>
      <c r="N3" s="14" t="s">
        <v>305</v>
      </c>
      <c r="P3" s="14" t="s">
        <v>305</v>
      </c>
    </row>
    <row r="4" spans="1:17" ht="27" x14ac:dyDescent="0.15">
      <c r="A4">
        <v>3</v>
      </c>
      <c r="B4" s="35" t="s">
        <v>301</v>
      </c>
      <c r="C4" s="28"/>
      <c r="D4" s="26" t="s">
        <v>257</v>
      </c>
      <c r="L4" s="14" t="s">
        <v>319</v>
      </c>
      <c r="N4" s="14" t="s">
        <v>305</v>
      </c>
      <c r="P4" s="14" t="s">
        <v>305</v>
      </c>
    </row>
    <row r="5" spans="1:17" ht="27" x14ac:dyDescent="0.15">
      <c r="A5">
        <v>4</v>
      </c>
      <c r="B5" s="35"/>
      <c r="C5" s="28"/>
      <c r="D5" s="26" t="s">
        <v>258</v>
      </c>
      <c r="L5" s="14" t="s">
        <v>319</v>
      </c>
      <c r="N5" s="14" t="s">
        <v>305</v>
      </c>
      <c r="P5" s="14" t="s">
        <v>305</v>
      </c>
    </row>
    <row r="6" spans="1:17" x14ac:dyDescent="0.15">
      <c r="A6">
        <v>5</v>
      </c>
      <c r="B6" s="35"/>
      <c r="C6" s="28" t="s">
        <v>287</v>
      </c>
      <c r="D6" s="26" t="s">
        <v>259</v>
      </c>
      <c r="L6" s="14" t="s">
        <v>319</v>
      </c>
      <c r="N6" s="14" t="s">
        <v>305</v>
      </c>
      <c r="P6" s="14" t="s">
        <v>305</v>
      </c>
    </row>
    <row r="7" spans="1:17" x14ac:dyDescent="0.15">
      <c r="A7">
        <v>6</v>
      </c>
      <c r="B7" s="35"/>
      <c r="C7" s="28"/>
      <c r="D7" s="26" t="s">
        <v>260</v>
      </c>
      <c r="L7" s="14" t="s">
        <v>319</v>
      </c>
      <c r="N7" s="14" t="s">
        <v>305</v>
      </c>
      <c r="P7" s="14" t="s">
        <v>305</v>
      </c>
    </row>
    <row r="8" spans="1:17" x14ac:dyDescent="0.15">
      <c r="A8">
        <v>7</v>
      </c>
      <c r="B8" s="35"/>
      <c r="C8" s="28" t="s">
        <v>288</v>
      </c>
      <c r="D8" s="26" t="s">
        <v>261</v>
      </c>
      <c r="L8" s="14" t="s">
        <v>319</v>
      </c>
      <c r="N8" s="14" t="s">
        <v>305</v>
      </c>
      <c r="P8" s="14" t="s">
        <v>305</v>
      </c>
    </row>
    <row r="9" spans="1:17" ht="27" x14ac:dyDescent="0.15">
      <c r="A9">
        <v>8</v>
      </c>
      <c r="B9" s="35"/>
      <c r="C9" s="28"/>
      <c r="D9" s="27" t="s">
        <v>262</v>
      </c>
      <c r="L9" s="14" t="s">
        <v>319</v>
      </c>
      <c r="N9" s="14" t="s">
        <v>305</v>
      </c>
      <c r="P9" s="14" t="s">
        <v>305</v>
      </c>
    </row>
    <row r="10" spans="1:17" ht="27" x14ac:dyDescent="0.15">
      <c r="A10">
        <v>9</v>
      </c>
      <c r="B10" s="35"/>
      <c r="C10" s="28"/>
      <c r="D10" s="26" t="s">
        <v>263</v>
      </c>
      <c r="L10" s="14" t="s">
        <v>319</v>
      </c>
      <c r="N10" s="14" t="s">
        <v>305</v>
      </c>
      <c r="P10" s="14" t="s">
        <v>305</v>
      </c>
    </row>
    <row r="11" spans="1:17" x14ac:dyDescent="0.15">
      <c r="A11">
        <v>10</v>
      </c>
      <c r="B11" s="35"/>
      <c r="C11" s="28"/>
      <c r="D11" s="26" t="s">
        <v>264</v>
      </c>
      <c r="L11" s="14" t="s">
        <v>319</v>
      </c>
      <c r="N11" s="14" t="s">
        <v>305</v>
      </c>
      <c r="P11" s="14" t="s">
        <v>305</v>
      </c>
    </row>
    <row r="12" spans="1:17" ht="27" x14ac:dyDescent="0.15">
      <c r="A12">
        <v>11</v>
      </c>
      <c r="B12" s="35"/>
      <c r="C12" s="28"/>
      <c r="D12" s="26" t="s">
        <v>265</v>
      </c>
      <c r="L12" s="14" t="s">
        <v>319</v>
      </c>
      <c r="N12" s="14" t="s">
        <v>305</v>
      </c>
      <c r="P12" s="14" t="s">
        <v>305</v>
      </c>
    </row>
    <row r="13" spans="1:17" x14ac:dyDescent="0.15">
      <c r="A13">
        <v>13</v>
      </c>
      <c r="B13" s="35"/>
      <c r="C13" s="28" t="s">
        <v>289</v>
      </c>
      <c r="D13" s="26" t="s">
        <v>266</v>
      </c>
      <c r="L13" s="14" t="s">
        <v>319</v>
      </c>
      <c r="N13" s="14" t="s">
        <v>305</v>
      </c>
      <c r="P13" s="14" t="s">
        <v>305</v>
      </c>
    </row>
    <row r="14" spans="1:17" ht="27" x14ac:dyDescent="0.15">
      <c r="A14">
        <v>14</v>
      </c>
      <c r="B14" s="35" t="s">
        <v>289</v>
      </c>
      <c r="C14" s="28"/>
      <c r="D14" s="26" t="s">
        <v>267</v>
      </c>
      <c r="L14" s="14" t="s">
        <v>319</v>
      </c>
      <c r="N14" s="14" t="s">
        <v>305</v>
      </c>
      <c r="P14" s="14" t="s">
        <v>305</v>
      </c>
    </row>
    <row r="15" spans="1:17" x14ac:dyDescent="0.15">
      <c r="A15">
        <v>15</v>
      </c>
      <c r="B15" s="35"/>
      <c r="C15" s="28" t="s">
        <v>290</v>
      </c>
      <c r="D15" s="26" t="s">
        <v>268</v>
      </c>
      <c r="L15" s="14" t="s">
        <v>319</v>
      </c>
      <c r="N15" s="14" t="s">
        <v>305</v>
      </c>
      <c r="P15" s="14" t="s">
        <v>305</v>
      </c>
    </row>
    <row r="16" spans="1:17" ht="27" x14ac:dyDescent="0.15">
      <c r="A16">
        <v>16</v>
      </c>
      <c r="B16" s="35"/>
      <c r="C16" s="28" t="s">
        <v>291</v>
      </c>
      <c r="D16" s="26" t="s">
        <v>269</v>
      </c>
      <c r="L16" s="14" t="s">
        <v>319</v>
      </c>
      <c r="N16" s="14" t="s">
        <v>305</v>
      </c>
      <c r="P16" s="14" t="s">
        <v>305</v>
      </c>
    </row>
    <row r="17" spans="1:16" x14ac:dyDescent="0.15">
      <c r="A17">
        <v>17</v>
      </c>
      <c r="B17" s="35" t="s">
        <v>302</v>
      </c>
      <c r="C17" s="28" t="s">
        <v>292</v>
      </c>
      <c r="D17" s="26" t="s">
        <v>270</v>
      </c>
      <c r="L17" s="14" t="s">
        <v>319</v>
      </c>
      <c r="N17" s="14" t="s">
        <v>305</v>
      </c>
      <c r="P17" s="14" t="s">
        <v>305</v>
      </c>
    </row>
    <row r="18" spans="1:16" x14ac:dyDescent="0.15">
      <c r="A18">
        <v>18</v>
      </c>
      <c r="B18" s="35"/>
      <c r="C18" s="28"/>
      <c r="D18" s="26" t="s">
        <v>271</v>
      </c>
      <c r="L18" s="14" t="s">
        <v>319</v>
      </c>
      <c r="N18" s="14" t="s">
        <v>305</v>
      </c>
      <c r="P18" s="14" t="s">
        <v>305</v>
      </c>
    </row>
    <row r="19" spans="1:16" x14ac:dyDescent="0.15">
      <c r="A19">
        <v>19</v>
      </c>
      <c r="B19" s="35"/>
      <c r="C19" s="28"/>
      <c r="D19" s="26" t="s">
        <v>272</v>
      </c>
      <c r="L19" s="14" t="s">
        <v>319</v>
      </c>
      <c r="N19" s="14" t="s">
        <v>305</v>
      </c>
      <c r="P19" s="14" t="s">
        <v>305</v>
      </c>
    </row>
    <row r="20" spans="1:16" x14ac:dyDescent="0.15">
      <c r="A20">
        <v>20</v>
      </c>
      <c r="B20" s="35"/>
      <c r="C20" s="28"/>
      <c r="D20" s="26" t="s">
        <v>273</v>
      </c>
      <c r="L20" s="14" t="s">
        <v>319</v>
      </c>
      <c r="N20" s="14" t="s">
        <v>305</v>
      </c>
      <c r="P20" s="14" t="s">
        <v>305</v>
      </c>
    </row>
    <row r="21" spans="1:16" x14ac:dyDescent="0.15">
      <c r="A21">
        <v>21</v>
      </c>
      <c r="B21" s="35"/>
      <c r="C21" s="28"/>
      <c r="D21" s="26" t="s">
        <v>274</v>
      </c>
      <c r="L21" s="14" t="s">
        <v>319</v>
      </c>
      <c r="N21" s="14" t="s">
        <v>305</v>
      </c>
      <c r="P21" s="14" t="s">
        <v>305</v>
      </c>
    </row>
    <row r="22" spans="1:16" x14ac:dyDescent="0.15">
      <c r="A22">
        <v>22</v>
      </c>
      <c r="B22" s="35"/>
      <c r="C22" s="28"/>
      <c r="D22" s="26" t="s">
        <v>275</v>
      </c>
      <c r="L22" s="14" t="s">
        <v>319</v>
      </c>
      <c r="N22" s="14" t="s">
        <v>305</v>
      </c>
      <c r="P22" s="14" t="s">
        <v>305</v>
      </c>
    </row>
    <row r="23" spans="1:16" x14ac:dyDescent="0.15">
      <c r="A23">
        <v>23</v>
      </c>
      <c r="B23" s="35"/>
      <c r="C23" s="28"/>
      <c r="D23" s="26" t="s">
        <v>276</v>
      </c>
      <c r="L23" s="14" t="s">
        <v>319</v>
      </c>
      <c r="N23" s="14" t="s">
        <v>305</v>
      </c>
      <c r="P23" s="14" t="s">
        <v>305</v>
      </c>
    </row>
    <row r="24" spans="1:16" x14ac:dyDescent="0.15">
      <c r="A24">
        <v>24</v>
      </c>
      <c r="B24" s="35"/>
      <c r="C24" s="29" t="s">
        <v>293</v>
      </c>
      <c r="D24" s="26" t="s">
        <v>277</v>
      </c>
      <c r="L24" s="14" t="s">
        <v>319</v>
      </c>
      <c r="N24" s="14" t="s">
        <v>305</v>
      </c>
      <c r="P24" s="14" t="s">
        <v>305</v>
      </c>
    </row>
    <row r="25" spans="1:16" ht="27" x14ac:dyDescent="0.15">
      <c r="A25">
        <v>25</v>
      </c>
      <c r="B25" s="35"/>
      <c r="C25" s="29" t="s">
        <v>294</v>
      </c>
      <c r="D25" s="26" t="s">
        <v>278</v>
      </c>
      <c r="L25" s="14" t="s">
        <v>319</v>
      </c>
      <c r="N25" s="14" t="s">
        <v>305</v>
      </c>
      <c r="P25" s="14" t="s">
        <v>305</v>
      </c>
    </row>
    <row r="26" spans="1:16" x14ac:dyDescent="0.15">
      <c r="A26">
        <v>26</v>
      </c>
      <c r="B26" s="35" t="s">
        <v>303</v>
      </c>
      <c r="C26" s="28" t="s">
        <v>295</v>
      </c>
      <c r="D26" s="26" t="s">
        <v>279</v>
      </c>
      <c r="L26" s="14" t="s">
        <v>319</v>
      </c>
      <c r="N26" s="14" t="s">
        <v>305</v>
      </c>
      <c r="P26" s="14" t="s">
        <v>305</v>
      </c>
    </row>
    <row r="27" spans="1:16" x14ac:dyDescent="0.15">
      <c r="A27">
        <v>27</v>
      </c>
      <c r="B27" s="35"/>
      <c r="C27" s="28"/>
      <c r="D27" s="26" t="s">
        <v>280</v>
      </c>
      <c r="L27" s="14" t="s">
        <v>319</v>
      </c>
      <c r="N27" s="14" t="s">
        <v>305</v>
      </c>
      <c r="P27" s="14" t="s">
        <v>305</v>
      </c>
    </row>
    <row r="28" spans="1:16" x14ac:dyDescent="0.15">
      <c r="A28">
        <v>28</v>
      </c>
      <c r="B28" s="35"/>
      <c r="C28" s="28" t="s">
        <v>296</v>
      </c>
      <c r="D28" s="26" t="s">
        <v>281</v>
      </c>
      <c r="L28" s="14" t="s">
        <v>319</v>
      </c>
      <c r="N28" s="14" t="s">
        <v>305</v>
      </c>
      <c r="P28" s="14" t="s">
        <v>305</v>
      </c>
    </row>
    <row r="29" spans="1:16" ht="27" x14ac:dyDescent="0.15">
      <c r="A29">
        <v>29</v>
      </c>
      <c r="B29" s="30"/>
      <c r="C29" s="28" t="s">
        <v>297</v>
      </c>
      <c r="D29" s="26" t="s">
        <v>282</v>
      </c>
      <c r="L29" s="14" t="s">
        <v>319</v>
      </c>
      <c r="N29" s="14" t="s">
        <v>305</v>
      </c>
      <c r="P29" s="14" t="s">
        <v>305</v>
      </c>
    </row>
    <row r="30" spans="1:16" x14ac:dyDescent="0.15">
      <c r="A30">
        <v>30</v>
      </c>
      <c r="B30" s="35" t="s">
        <v>296</v>
      </c>
      <c r="C30" s="28" t="s">
        <v>298</v>
      </c>
      <c r="D30" s="26" t="s">
        <v>283</v>
      </c>
      <c r="L30" s="14" t="s">
        <v>319</v>
      </c>
      <c r="N30" s="14" t="s">
        <v>305</v>
      </c>
      <c r="P30" s="14" t="s">
        <v>305</v>
      </c>
    </row>
    <row r="31" spans="1:16" x14ac:dyDescent="0.15">
      <c r="A31">
        <v>31</v>
      </c>
      <c r="B31" s="35"/>
      <c r="C31" s="28" t="s">
        <v>299</v>
      </c>
      <c r="D31" s="26" t="s">
        <v>284</v>
      </c>
      <c r="L31" s="14" t="s">
        <v>319</v>
      </c>
      <c r="N31" s="14" t="s">
        <v>305</v>
      </c>
      <c r="P31" s="14" t="s">
        <v>305</v>
      </c>
    </row>
    <row r="32" spans="1:16" x14ac:dyDescent="0.15">
      <c r="A32">
        <v>32</v>
      </c>
      <c r="B32" s="35"/>
      <c r="C32" s="28" t="s">
        <v>300</v>
      </c>
      <c r="D32" s="26" t="s">
        <v>285</v>
      </c>
      <c r="L32" s="14" t="s">
        <v>319</v>
      </c>
      <c r="N32" s="14" t="s">
        <v>305</v>
      </c>
      <c r="P32" s="14" t="s">
        <v>305</v>
      </c>
    </row>
    <row r="33" spans="2:4" x14ac:dyDescent="0.15">
      <c r="B33" s="31"/>
      <c r="D33" s="25"/>
    </row>
    <row r="34" spans="2:4" x14ac:dyDescent="0.15">
      <c r="B34" s="31"/>
      <c r="D34" s="25"/>
    </row>
    <row r="35" spans="2:4" x14ac:dyDescent="0.15">
      <c r="D35" s="25"/>
    </row>
  </sheetData>
  <mergeCells count="5">
    <mergeCell ref="B4:B13"/>
    <mergeCell ref="B14:B16"/>
    <mergeCell ref="B17:B25"/>
    <mergeCell ref="B26:B28"/>
    <mergeCell ref="B30:B3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4"/>
  <sheetViews>
    <sheetView workbookViewId="0">
      <pane ySplit="1" topLeftCell="A14" activePane="bottomLeft" state="frozen"/>
      <selection pane="bottomLeft" activeCell="P25" sqref="P25"/>
    </sheetView>
  </sheetViews>
  <sheetFormatPr defaultRowHeight="13.5" x14ac:dyDescent="0.15"/>
  <cols>
    <col min="1" max="1" width="3.625" style="6" customWidth="1"/>
    <col min="2" max="2" width="4.5" style="6" customWidth="1"/>
    <col min="3" max="3" width="12.25" style="5" customWidth="1"/>
    <col min="4" max="4" width="26.875" style="5" customWidth="1"/>
    <col min="5" max="5" width="6.125" style="5" customWidth="1"/>
    <col min="6" max="6" width="20.875" style="5" customWidth="1"/>
    <col min="7" max="7" width="26.125" style="5" customWidth="1"/>
    <col min="8" max="8" width="37.625" style="5" customWidth="1"/>
    <col min="9" max="9" width="37.75" style="5" customWidth="1"/>
    <col min="10" max="10" width="8.875" style="6" customWidth="1"/>
    <col min="11" max="11" width="6.625" style="6" hidden="1" customWidth="1"/>
    <col min="12" max="12" width="5.5" style="6" customWidth="1"/>
    <col min="13" max="13" width="1.125" style="6" customWidth="1"/>
    <col min="14" max="14" width="6" style="6" customWidth="1"/>
    <col min="15" max="15" width="3.75" style="6" customWidth="1"/>
    <col min="16" max="16" width="13.5" style="6" customWidth="1"/>
    <col min="17" max="17" width="12.5" style="6" customWidth="1"/>
    <col min="18" max="16384" width="9" style="6"/>
  </cols>
  <sheetData>
    <row r="1" spans="1:17" s="7" customFormat="1" x14ac:dyDescent="0.15">
      <c r="A1" s="7" t="s">
        <v>0</v>
      </c>
      <c r="B1" s="7" t="s">
        <v>6</v>
      </c>
      <c r="C1" s="7" t="s">
        <v>9</v>
      </c>
      <c r="D1" s="7" t="s">
        <v>1</v>
      </c>
      <c r="E1" s="7" t="s">
        <v>10</v>
      </c>
      <c r="F1" s="7" t="s">
        <v>245</v>
      </c>
      <c r="G1" s="7" t="s">
        <v>7</v>
      </c>
      <c r="H1" s="7" t="s">
        <v>12</v>
      </c>
      <c r="I1" s="7" t="s">
        <v>13</v>
      </c>
      <c r="J1" s="7" t="s">
        <v>8</v>
      </c>
      <c r="K1" s="7" t="s">
        <v>14</v>
      </c>
      <c r="L1" s="7" t="s">
        <v>15</v>
      </c>
      <c r="M1" s="7" t="s">
        <v>16</v>
      </c>
      <c r="N1" s="7" t="s">
        <v>2</v>
      </c>
      <c r="O1" s="7" t="s">
        <v>3</v>
      </c>
      <c r="P1" s="7" t="s">
        <v>4</v>
      </c>
      <c r="Q1" s="7" t="s">
        <v>5</v>
      </c>
    </row>
    <row r="2" spans="1:17" customFormat="1" ht="54" x14ac:dyDescent="0.15">
      <c r="A2">
        <v>1</v>
      </c>
      <c r="B2" s="24" t="s">
        <v>80</v>
      </c>
      <c r="C2" s="6" t="s">
        <v>81</v>
      </c>
      <c r="D2" s="6" t="s">
        <v>107</v>
      </c>
      <c r="E2" s="6">
        <v>2</v>
      </c>
      <c r="F2" s="6" t="s">
        <v>107</v>
      </c>
      <c r="G2" s="6" t="s">
        <v>108</v>
      </c>
      <c r="H2" s="5" t="s">
        <v>84</v>
      </c>
      <c r="I2" s="5" t="s">
        <v>110</v>
      </c>
      <c r="L2" s="14" t="s">
        <v>305</v>
      </c>
      <c r="N2" s="14" t="s">
        <v>305</v>
      </c>
      <c r="P2" s="14" t="s">
        <v>305</v>
      </c>
    </row>
    <row r="3" spans="1:17" customFormat="1" ht="162" x14ac:dyDescent="0.15">
      <c r="A3">
        <v>2</v>
      </c>
      <c r="B3" s="15"/>
      <c r="C3" s="6"/>
      <c r="D3" s="6" t="s">
        <v>83</v>
      </c>
      <c r="E3" s="6">
        <v>2</v>
      </c>
      <c r="F3" s="6" t="s">
        <v>83</v>
      </c>
      <c r="G3" s="6" t="s">
        <v>246</v>
      </c>
      <c r="H3" s="5" t="s">
        <v>109</v>
      </c>
      <c r="I3" s="5" t="s">
        <v>115</v>
      </c>
      <c r="J3" s="6" t="s">
        <v>304</v>
      </c>
      <c r="L3" s="14" t="s">
        <v>305</v>
      </c>
      <c r="N3" s="14" t="s">
        <v>305</v>
      </c>
      <c r="P3" s="14" t="s">
        <v>305</v>
      </c>
    </row>
    <row r="4" spans="1:17" customFormat="1" ht="94.5" x14ac:dyDescent="0.15">
      <c r="A4">
        <v>3</v>
      </c>
      <c r="B4" s="15"/>
      <c r="C4" s="6"/>
      <c r="D4" s="6" t="s">
        <v>86</v>
      </c>
      <c r="E4" s="6">
        <v>2</v>
      </c>
      <c r="F4" s="6" t="s">
        <v>86</v>
      </c>
      <c r="G4" s="6" t="s">
        <v>87</v>
      </c>
      <c r="H4" s="5" t="s">
        <v>88</v>
      </c>
      <c r="I4" s="5" t="s">
        <v>315</v>
      </c>
      <c r="J4" t="s">
        <v>325</v>
      </c>
      <c r="L4" s="14" t="s">
        <v>305</v>
      </c>
      <c r="N4" s="14" t="s">
        <v>305</v>
      </c>
      <c r="P4" s="14" t="s">
        <v>305</v>
      </c>
    </row>
    <row r="5" spans="1:17" customFormat="1" ht="40.5" x14ac:dyDescent="0.15">
      <c r="A5">
        <v>4</v>
      </c>
      <c r="B5" s="15"/>
      <c r="C5" s="6"/>
      <c r="D5" s="6" t="s">
        <v>91</v>
      </c>
      <c r="E5" s="6">
        <v>2</v>
      </c>
      <c r="F5" s="6" t="s">
        <v>91</v>
      </c>
      <c r="G5" s="6" t="s">
        <v>246</v>
      </c>
      <c r="H5" s="5" t="s">
        <v>100</v>
      </c>
      <c r="I5" s="5" t="s">
        <v>247</v>
      </c>
      <c r="J5" s="6" t="s">
        <v>317</v>
      </c>
      <c r="L5" s="14" t="s">
        <v>305</v>
      </c>
      <c r="N5" s="14" t="s">
        <v>305</v>
      </c>
      <c r="P5" s="14" t="s">
        <v>305</v>
      </c>
    </row>
    <row r="6" spans="1:17" customFormat="1" x14ac:dyDescent="0.15">
      <c r="A6">
        <v>5</v>
      </c>
      <c r="B6" s="15"/>
      <c r="C6" s="5"/>
      <c r="D6" s="6" t="s">
        <v>92</v>
      </c>
      <c r="E6" s="6">
        <v>2</v>
      </c>
      <c r="F6" s="6" t="s">
        <v>248</v>
      </c>
      <c r="G6" s="6" t="s">
        <v>249</v>
      </c>
      <c r="H6" s="6" t="s">
        <v>93</v>
      </c>
      <c r="I6" s="5" t="s">
        <v>94</v>
      </c>
      <c r="L6" s="14" t="s">
        <v>305</v>
      </c>
      <c r="N6" s="14" t="s">
        <v>305</v>
      </c>
      <c r="P6" s="14" t="s">
        <v>305</v>
      </c>
    </row>
    <row r="7" spans="1:17" customFormat="1" x14ac:dyDescent="0.15">
      <c r="A7">
        <v>6</v>
      </c>
      <c r="B7" s="15"/>
      <c r="C7" s="5"/>
      <c r="D7" s="6" t="s">
        <v>122</v>
      </c>
      <c r="E7" s="6">
        <v>2</v>
      </c>
      <c r="F7" s="6" t="s">
        <v>122</v>
      </c>
      <c r="G7" s="6" t="s">
        <v>246</v>
      </c>
      <c r="H7" s="6" t="s">
        <v>124</v>
      </c>
      <c r="I7" s="5" t="s">
        <v>123</v>
      </c>
      <c r="L7" s="14" t="s">
        <v>305</v>
      </c>
      <c r="N7" s="14" t="s">
        <v>305</v>
      </c>
      <c r="P7" s="14" t="s">
        <v>305</v>
      </c>
    </row>
    <row r="8" spans="1:17" customFormat="1" ht="81" x14ac:dyDescent="0.15">
      <c r="A8">
        <v>7</v>
      </c>
      <c r="B8" s="15"/>
      <c r="C8" s="6"/>
      <c r="D8" s="5" t="s">
        <v>95</v>
      </c>
      <c r="E8" s="6">
        <v>2</v>
      </c>
      <c r="F8" s="5" t="s">
        <v>95</v>
      </c>
      <c r="G8" s="6" t="s">
        <v>246</v>
      </c>
      <c r="H8" s="5" t="s">
        <v>306</v>
      </c>
      <c r="I8" s="5" t="s">
        <v>307</v>
      </c>
      <c r="J8" s="5" t="s">
        <v>328</v>
      </c>
      <c r="L8" s="14" t="s">
        <v>305</v>
      </c>
      <c r="N8" s="14" t="s">
        <v>305</v>
      </c>
      <c r="P8" s="14" t="s">
        <v>305</v>
      </c>
    </row>
    <row r="9" spans="1:17" customFormat="1" ht="94.5" x14ac:dyDescent="0.15">
      <c r="A9">
        <v>8</v>
      </c>
      <c r="B9" s="15"/>
      <c r="C9" s="6"/>
      <c r="D9" s="5" t="s">
        <v>96</v>
      </c>
      <c r="E9" s="6">
        <v>2</v>
      </c>
      <c r="F9" s="5" t="s">
        <v>96</v>
      </c>
      <c r="G9" s="6" t="s">
        <v>250</v>
      </c>
      <c r="H9" s="5" t="s">
        <v>308</v>
      </c>
      <c r="I9" s="5" t="s">
        <v>98</v>
      </c>
      <c r="L9" s="14" t="s">
        <v>305</v>
      </c>
      <c r="N9" s="14" t="s">
        <v>305</v>
      </c>
      <c r="P9" s="14" t="s">
        <v>305</v>
      </c>
    </row>
    <row r="10" spans="1:17" customFormat="1" ht="54" x14ac:dyDescent="0.15">
      <c r="A10">
        <v>9</v>
      </c>
      <c r="B10" s="15"/>
      <c r="C10" s="6"/>
      <c r="D10" s="5" t="s">
        <v>99</v>
      </c>
      <c r="E10" s="6">
        <v>2</v>
      </c>
      <c r="F10" s="5" t="s">
        <v>99</v>
      </c>
      <c r="G10" s="6" t="s">
        <v>252</v>
      </c>
      <c r="H10" s="5" t="s">
        <v>101</v>
      </c>
      <c r="I10" s="5" t="s">
        <v>102</v>
      </c>
      <c r="L10" s="14" t="s">
        <v>305</v>
      </c>
      <c r="N10" s="14" t="s">
        <v>305</v>
      </c>
      <c r="P10" s="14" t="s">
        <v>305</v>
      </c>
    </row>
    <row r="11" spans="1:17" customFormat="1" ht="54" x14ac:dyDescent="0.15">
      <c r="A11">
        <v>10</v>
      </c>
      <c r="B11" s="15"/>
      <c r="C11" s="6"/>
      <c r="D11" s="6" t="s">
        <v>97</v>
      </c>
      <c r="E11" s="6">
        <v>2</v>
      </c>
      <c r="F11" s="6" t="s">
        <v>97</v>
      </c>
      <c r="G11" s="6" t="s">
        <v>251</v>
      </c>
      <c r="H11" s="5" t="s">
        <v>103</v>
      </c>
      <c r="I11" s="5" t="s">
        <v>104</v>
      </c>
      <c r="J11" s="6" t="s">
        <v>329</v>
      </c>
      <c r="L11" s="32" t="s">
        <v>316</v>
      </c>
      <c r="N11" s="14" t="s">
        <v>305</v>
      </c>
      <c r="P11" s="14" t="s">
        <v>305</v>
      </c>
    </row>
    <row r="12" spans="1:17" customFormat="1" ht="54" x14ac:dyDescent="0.15">
      <c r="A12">
        <v>11</v>
      </c>
      <c r="B12" s="15"/>
      <c r="C12" s="6"/>
      <c r="D12" s="5" t="s">
        <v>337</v>
      </c>
      <c r="E12" s="6">
        <v>2</v>
      </c>
      <c r="F12" s="5" t="s">
        <v>338</v>
      </c>
      <c r="G12" s="6" t="s">
        <v>120</v>
      </c>
      <c r="H12" s="5" t="s">
        <v>105</v>
      </c>
      <c r="I12" s="5" t="s">
        <v>318</v>
      </c>
      <c r="J12" s="6" t="s">
        <v>329</v>
      </c>
      <c r="L12" s="14" t="s">
        <v>305</v>
      </c>
      <c r="N12" s="14" t="s">
        <v>305</v>
      </c>
      <c r="P12" s="14" t="s">
        <v>305</v>
      </c>
    </row>
    <row r="13" spans="1:17" customFormat="1" ht="40.5" x14ac:dyDescent="0.15">
      <c r="A13">
        <v>12</v>
      </c>
      <c r="B13" s="15"/>
      <c r="C13" s="6" t="s">
        <v>82</v>
      </c>
      <c r="D13" s="6" t="s">
        <v>107</v>
      </c>
      <c r="E13" s="6">
        <v>2</v>
      </c>
      <c r="F13" s="6" t="s">
        <v>107</v>
      </c>
      <c r="G13" s="6" t="s">
        <v>111</v>
      </c>
      <c r="H13" s="5" t="s">
        <v>112</v>
      </c>
      <c r="I13" s="5" t="s">
        <v>113</v>
      </c>
      <c r="L13" s="14" t="s">
        <v>305</v>
      </c>
      <c r="N13" s="14" t="s">
        <v>305</v>
      </c>
      <c r="P13" s="14" t="s">
        <v>305</v>
      </c>
    </row>
    <row r="14" spans="1:17" customFormat="1" ht="54" x14ac:dyDescent="0.15">
      <c r="A14">
        <v>13</v>
      </c>
      <c r="B14" s="15"/>
      <c r="C14" s="6"/>
      <c r="D14" s="6" t="s">
        <v>83</v>
      </c>
      <c r="E14" s="6">
        <v>2</v>
      </c>
      <c r="F14" s="6" t="s">
        <v>83</v>
      </c>
      <c r="G14" s="6" t="s">
        <v>252</v>
      </c>
      <c r="H14" s="5" t="s">
        <v>114</v>
      </c>
      <c r="I14" s="5" t="s">
        <v>116</v>
      </c>
      <c r="L14" s="14" t="s">
        <v>305</v>
      </c>
      <c r="N14" s="14" t="s">
        <v>305</v>
      </c>
      <c r="P14" s="14" t="s">
        <v>305</v>
      </c>
    </row>
    <row r="15" spans="1:17" customFormat="1" ht="94.5" x14ac:dyDescent="0.15">
      <c r="A15">
        <v>14</v>
      </c>
      <c r="B15" s="15"/>
      <c r="C15" s="6"/>
      <c r="D15" s="6" t="s">
        <v>86</v>
      </c>
      <c r="E15" s="6">
        <v>2</v>
      </c>
      <c r="F15" s="6" t="s">
        <v>86</v>
      </c>
      <c r="G15" s="6" t="s">
        <v>87</v>
      </c>
      <c r="H15" s="5" t="s">
        <v>117</v>
      </c>
      <c r="I15" s="5" t="s">
        <v>89</v>
      </c>
      <c r="J15" s="6" t="s">
        <v>320</v>
      </c>
      <c r="L15" s="32" t="s">
        <v>316</v>
      </c>
      <c r="N15" s="14" t="s">
        <v>305</v>
      </c>
      <c r="P15" s="14" t="s">
        <v>305</v>
      </c>
    </row>
    <row r="16" spans="1:17" customFormat="1" ht="67.5" x14ac:dyDescent="0.15">
      <c r="A16">
        <v>15</v>
      </c>
      <c r="B16" s="15"/>
      <c r="C16" s="5"/>
      <c r="D16" s="5" t="s">
        <v>310</v>
      </c>
      <c r="E16" s="6">
        <v>2</v>
      </c>
      <c r="F16" s="5" t="s">
        <v>314</v>
      </c>
      <c r="G16" s="6" t="s">
        <v>121</v>
      </c>
      <c r="H16" s="5" t="s">
        <v>100</v>
      </c>
      <c r="I16" s="5" t="s">
        <v>90</v>
      </c>
      <c r="L16" s="14" t="s">
        <v>305</v>
      </c>
      <c r="N16" s="14" t="s">
        <v>305</v>
      </c>
      <c r="P16" s="14" t="s">
        <v>305</v>
      </c>
    </row>
    <row r="17" spans="1:16" customFormat="1" x14ac:dyDescent="0.15">
      <c r="A17">
        <v>16</v>
      </c>
      <c r="B17" s="15"/>
      <c r="C17" s="6"/>
      <c r="D17" s="6" t="s">
        <v>92</v>
      </c>
      <c r="E17" s="6">
        <v>2</v>
      </c>
      <c r="F17" s="6" t="s">
        <v>92</v>
      </c>
      <c r="G17" s="6" t="s">
        <v>253</v>
      </c>
      <c r="H17" s="6" t="s">
        <v>93</v>
      </c>
      <c r="I17" s="5" t="s">
        <v>94</v>
      </c>
      <c r="L17" s="14" t="s">
        <v>305</v>
      </c>
      <c r="N17" s="14" t="s">
        <v>305</v>
      </c>
      <c r="P17" s="14" t="s">
        <v>305</v>
      </c>
    </row>
    <row r="18" spans="1:16" customFormat="1" ht="54" x14ac:dyDescent="0.15">
      <c r="A18">
        <v>17</v>
      </c>
      <c r="B18" s="15"/>
      <c r="C18" s="6"/>
      <c r="D18" s="5" t="s">
        <v>85</v>
      </c>
      <c r="E18" s="6">
        <v>2</v>
      </c>
      <c r="F18" s="5" t="s">
        <v>85</v>
      </c>
      <c r="G18" s="6" t="s">
        <v>250</v>
      </c>
      <c r="H18" s="5" t="s">
        <v>118</v>
      </c>
      <c r="I18" s="5" t="s">
        <v>119</v>
      </c>
      <c r="L18" s="14" t="s">
        <v>305</v>
      </c>
      <c r="N18" s="14" t="s">
        <v>305</v>
      </c>
      <c r="P18" s="14" t="s">
        <v>305</v>
      </c>
    </row>
    <row r="19" spans="1:16" customFormat="1" ht="54" x14ac:dyDescent="0.15">
      <c r="A19">
        <v>18</v>
      </c>
      <c r="B19" s="15"/>
      <c r="C19" s="6"/>
      <c r="D19" s="6" t="s">
        <v>97</v>
      </c>
      <c r="E19" s="6">
        <v>2</v>
      </c>
      <c r="F19" s="6" t="s">
        <v>97</v>
      </c>
      <c r="G19" s="6" t="s">
        <v>251</v>
      </c>
      <c r="H19" s="5" t="s">
        <v>103</v>
      </c>
      <c r="I19" s="5" t="s">
        <v>104</v>
      </c>
      <c r="L19" s="32" t="s">
        <v>316</v>
      </c>
      <c r="N19" s="14" t="s">
        <v>305</v>
      </c>
      <c r="P19" s="14" t="s">
        <v>305</v>
      </c>
    </row>
    <row r="20" spans="1:16" customFormat="1" ht="54" x14ac:dyDescent="0.15">
      <c r="A20">
        <v>19</v>
      </c>
      <c r="B20" s="15"/>
      <c r="C20" s="6"/>
      <c r="D20" s="5" t="s">
        <v>309</v>
      </c>
      <c r="E20" s="6">
        <v>2</v>
      </c>
      <c r="F20" s="5" t="s">
        <v>309</v>
      </c>
      <c r="G20" s="6" t="s">
        <v>120</v>
      </c>
      <c r="H20" s="5" t="s">
        <v>105</v>
      </c>
      <c r="I20" s="5" t="s">
        <v>106</v>
      </c>
      <c r="J20" s="6" t="s">
        <v>329</v>
      </c>
      <c r="L20" s="14" t="s">
        <v>305</v>
      </c>
      <c r="N20" s="14" t="s">
        <v>305</v>
      </c>
      <c r="P20" s="14" t="s">
        <v>305</v>
      </c>
    </row>
    <row r="21" spans="1:16" customFormat="1" x14ac:dyDescent="0.15">
      <c r="A21">
        <v>20</v>
      </c>
      <c r="B21" s="15"/>
      <c r="C21" s="6"/>
      <c r="D21" s="6" t="s">
        <v>122</v>
      </c>
      <c r="E21" s="6">
        <v>2</v>
      </c>
      <c r="F21" s="6" t="s">
        <v>122</v>
      </c>
      <c r="G21" s="6" t="s">
        <v>252</v>
      </c>
      <c r="H21" s="6" t="s">
        <v>124</v>
      </c>
      <c r="I21" s="5" t="s">
        <v>123</v>
      </c>
      <c r="L21" s="32" t="s">
        <v>316</v>
      </c>
      <c r="N21" s="14" t="s">
        <v>305</v>
      </c>
      <c r="P21" s="14" t="s">
        <v>305</v>
      </c>
    </row>
    <row r="22" spans="1:16" customFormat="1" ht="40.5" x14ac:dyDescent="0.15">
      <c r="A22">
        <v>21</v>
      </c>
      <c r="B22" s="21" t="s">
        <v>125</v>
      </c>
      <c r="C22" s="6" t="s">
        <v>126</v>
      </c>
      <c r="D22" s="6" t="s">
        <v>129</v>
      </c>
      <c r="E22" s="6">
        <v>2</v>
      </c>
      <c r="F22" s="6" t="s">
        <v>129</v>
      </c>
      <c r="G22" s="6" t="s">
        <v>251</v>
      </c>
      <c r="H22" s="6" t="s">
        <v>130</v>
      </c>
      <c r="I22" s="5" t="s">
        <v>136</v>
      </c>
      <c r="L22" s="14" t="s">
        <v>305</v>
      </c>
      <c r="N22" s="14" t="s">
        <v>305</v>
      </c>
      <c r="P22" s="14" t="s">
        <v>305</v>
      </c>
    </row>
    <row r="23" spans="1:16" customFormat="1" ht="40.5" x14ac:dyDescent="0.15">
      <c r="A23">
        <v>22</v>
      </c>
      <c r="B23" s="21"/>
      <c r="C23" s="6" t="s">
        <v>127</v>
      </c>
      <c r="D23" s="6" t="s">
        <v>129</v>
      </c>
      <c r="E23" s="6">
        <v>2</v>
      </c>
      <c r="F23" s="6" t="s">
        <v>129</v>
      </c>
      <c r="G23" s="6" t="s">
        <v>251</v>
      </c>
      <c r="H23" s="6" t="s">
        <v>131</v>
      </c>
      <c r="I23" s="5" t="s">
        <v>136</v>
      </c>
      <c r="L23" s="14" t="s">
        <v>305</v>
      </c>
      <c r="N23" s="14" t="s">
        <v>305</v>
      </c>
      <c r="P23" s="14" t="s">
        <v>305</v>
      </c>
    </row>
    <row r="24" spans="1:16" customFormat="1" ht="40.5" x14ac:dyDescent="0.15">
      <c r="A24">
        <v>23</v>
      </c>
      <c r="B24" s="21"/>
      <c r="C24" s="6" t="s">
        <v>128</v>
      </c>
      <c r="D24" s="6" t="s">
        <v>129</v>
      </c>
      <c r="E24" s="6">
        <v>2</v>
      </c>
      <c r="F24" s="6" t="s">
        <v>129</v>
      </c>
      <c r="G24" s="6" t="s">
        <v>251</v>
      </c>
      <c r="H24" s="6" t="s">
        <v>132</v>
      </c>
      <c r="I24" s="5" t="s">
        <v>136</v>
      </c>
      <c r="L24" s="14" t="s">
        <v>305</v>
      </c>
      <c r="N24" s="14" t="s">
        <v>305</v>
      </c>
      <c r="P24" s="14" t="s">
        <v>305</v>
      </c>
    </row>
    <row r="25" spans="1:16" customFormat="1" ht="40.5" x14ac:dyDescent="0.15">
      <c r="A25">
        <v>24</v>
      </c>
      <c r="B25" s="21"/>
      <c r="C25" s="6" t="s">
        <v>133</v>
      </c>
      <c r="D25" s="6" t="s">
        <v>129</v>
      </c>
      <c r="E25" s="6">
        <v>2</v>
      </c>
      <c r="F25" s="6" t="s">
        <v>129</v>
      </c>
      <c r="G25" s="6" t="s">
        <v>134</v>
      </c>
      <c r="H25" s="6" t="s">
        <v>132</v>
      </c>
      <c r="I25" s="5" t="s">
        <v>135</v>
      </c>
      <c r="L25" s="14" t="s">
        <v>305</v>
      </c>
      <c r="N25" s="14" t="s">
        <v>305</v>
      </c>
      <c r="P25" s="14" t="s">
        <v>305</v>
      </c>
    </row>
    <row r="26" spans="1:16" customFormat="1" ht="54" x14ac:dyDescent="0.15">
      <c r="A26">
        <v>25</v>
      </c>
      <c r="B26" s="16" t="s">
        <v>137</v>
      </c>
      <c r="C26" s="5" t="s">
        <v>153</v>
      </c>
      <c r="D26" s="6" t="s">
        <v>138</v>
      </c>
      <c r="E26" s="6">
        <v>2</v>
      </c>
      <c r="F26" s="6" t="s">
        <v>138</v>
      </c>
      <c r="G26" s="6" t="s">
        <v>250</v>
      </c>
      <c r="H26" s="5" t="s">
        <v>311</v>
      </c>
      <c r="I26" s="5" t="s">
        <v>139</v>
      </c>
      <c r="J26" s="6" t="s">
        <v>339</v>
      </c>
      <c r="L26" s="14" t="s">
        <v>305</v>
      </c>
      <c r="N26" s="14" t="s">
        <v>305</v>
      </c>
      <c r="P26" s="14" t="s">
        <v>305</v>
      </c>
    </row>
    <row r="27" spans="1:16" customFormat="1" ht="27" x14ac:dyDescent="0.15">
      <c r="A27">
        <v>26</v>
      </c>
      <c r="B27" s="16"/>
      <c r="C27" s="6"/>
      <c r="D27" s="6" t="s">
        <v>144</v>
      </c>
      <c r="E27" s="6">
        <v>2</v>
      </c>
      <c r="F27" s="6" t="s">
        <v>144</v>
      </c>
      <c r="G27" s="6" t="s">
        <v>250</v>
      </c>
      <c r="H27" s="5" t="s">
        <v>146</v>
      </c>
      <c r="I27" s="5" t="s">
        <v>147</v>
      </c>
      <c r="L27" s="14" t="s">
        <v>305</v>
      </c>
      <c r="N27" s="14" t="s">
        <v>305</v>
      </c>
      <c r="P27" s="14" t="s">
        <v>305</v>
      </c>
    </row>
    <row r="28" spans="1:16" customFormat="1" ht="27" x14ac:dyDescent="0.15">
      <c r="A28">
        <v>27</v>
      </c>
      <c r="B28" s="16"/>
      <c r="C28" s="6"/>
      <c r="D28" s="6" t="s">
        <v>145</v>
      </c>
      <c r="E28" s="6">
        <v>2</v>
      </c>
      <c r="F28" s="6" t="s">
        <v>145</v>
      </c>
      <c r="G28" s="6" t="s">
        <v>250</v>
      </c>
      <c r="H28" s="5" t="s">
        <v>148</v>
      </c>
      <c r="I28" s="5" t="s">
        <v>147</v>
      </c>
      <c r="L28" s="14" t="s">
        <v>305</v>
      </c>
      <c r="N28" s="14" t="s">
        <v>305</v>
      </c>
      <c r="P28" s="14" t="s">
        <v>305</v>
      </c>
    </row>
    <row r="29" spans="1:16" customFormat="1" ht="40.5" x14ac:dyDescent="0.15">
      <c r="A29">
        <v>28</v>
      </c>
      <c r="B29" s="16"/>
      <c r="C29" s="6"/>
      <c r="D29" s="6" t="s">
        <v>312</v>
      </c>
      <c r="E29" s="6">
        <v>2</v>
      </c>
      <c r="F29" s="6" t="s">
        <v>312</v>
      </c>
      <c r="G29" s="6" t="s">
        <v>250</v>
      </c>
      <c r="H29" s="5" t="s">
        <v>150</v>
      </c>
      <c r="I29" s="5" t="s">
        <v>152</v>
      </c>
      <c r="L29" s="14" t="s">
        <v>305</v>
      </c>
      <c r="N29" s="14" t="s">
        <v>305</v>
      </c>
      <c r="P29" s="14" t="s">
        <v>305</v>
      </c>
    </row>
    <row r="30" spans="1:16" customFormat="1" ht="40.5" x14ac:dyDescent="0.15">
      <c r="A30">
        <v>29</v>
      </c>
      <c r="B30" s="16"/>
      <c r="C30" s="6"/>
      <c r="D30" s="6" t="s">
        <v>149</v>
      </c>
      <c r="E30" s="6">
        <v>2</v>
      </c>
      <c r="F30" s="6" t="s">
        <v>149</v>
      </c>
      <c r="G30" s="6" t="s">
        <v>250</v>
      </c>
      <c r="H30" s="5" t="s">
        <v>151</v>
      </c>
      <c r="I30" s="5" t="s">
        <v>152</v>
      </c>
      <c r="L30" s="14" t="s">
        <v>305</v>
      </c>
      <c r="N30" s="14" t="s">
        <v>305</v>
      </c>
      <c r="P30" s="14" t="s">
        <v>305</v>
      </c>
    </row>
    <row r="31" spans="1:16" customFormat="1" ht="81" x14ac:dyDescent="0.15">
      <c r="A31">
        <v>30</v>
      </c>
      <c r="B31" s="16"/>
      <c r="C31" s="6"/>
      <c r="D31" s="6" t="s">
        <v>141</v>
      </c>
      <c r="E31" s="6">
        <v>2</v>
      </c>
      <c r="F31" s="6" t="s">
        <v>141</v>
      </c>
      <c r="G31" s="6" t="s">
        <v>250</v>
      </c>
      <c r="H31" s="5" t="s">
        <v>142</v>
      </c>
      <c r="I31" s="5" t="s">
        <v>143</v>
      </c>
      <c r="L31" s="14" t="s">
        <v>305</v>
      </c>
      <c r="N31" s="14" t="s">
        <v>305</v>
      </c>
      <c r="P31" s="14" t="s">
        <v>305</v>
      </c>
    </row>
    <row r="32" spans="1:16" customFormat="1" ht="27" x14ac:dyDescent="0.15">
      <c r="A32">
        <v>31</v>
      </c>
      <c r="B32" s="16"/>
      <c r="C32" s="6" t="s">
        <v>154</v>
      </c>
      <c r="D32" s="6" t="s">
        <v>140</v>
      </c>
      <c r="E32" s="6">
        <v>2</v>
      </c>
      <c r="F32" s="6" t="s">
        <v>140</v>
      </c>
      <c r="G32" s="6" t="s">
        <v>252</v>
      </c>
      <c r="H32" s="5" t="s">
        <v>313</v>
      </c>
      <c r="I32" s="5" t="s">
        <v>139</v>
      </c>
      <c r="L32" s="14" t="s">
        <v>305</v>
      </c>
      <c r="N32" s="14" t="s">
        <v>305</v>
      </c>
      <c r="P32" s="14" t="s">
        <v>305</v>
      </c>
    </row>
    <row r="33" spans="1:16" customFormat="1" ht="27" x14ac:dyDescent="0.15">
      <c r="A33">
        <v>32</v>
      </c>
      <c r="B33" s="16"/>
      <c r="C33" s="6"/>
      <c r="D33" s="6" t="s">
        <v>144</v>
      </c>
      <c r="E33" s="6">
        <v>2</v>
      </c>
      <c r="F33" s="6" t="s">
        <v>144</v>
      </c>
      <c r="G33" s="6" t="s">
        <v>252</v>
      </c>
      <c r="H33" s="5" t="s">
        <v>146</v>
      </c>
      <c r="I33" s="5" t="s">
        <v>147</v>
      </c>
      <c r="L33" s="14" t="s">
        <v>305</v>
      </c>
      <c r="N33" s="14" t="s">
        <v>305</v>
      </c>
      <c r="P33" s="14" t="s">
        <v>305</v>
      </c>
    </row>
    <row r="34" spans="1:16" customFormat="1" ht="27" x14ac:dyDescent="0.15">
      <c r="A34">
        <v>33</v>
      </c>
      <c r="B34" s="16"/>
      <c r="C34" s="6"/>
      <c r="D34" s="6" t="s">
        <v>145</v>
      </c>
      <c r="E34" s="6">
        <v>2</v>
      </c>
      <c r="F34" s="6" t="s">
        <v>145</v>
      </c>
      <c r="G34" s="6" t="s">
        <v>252</v>
      </c>
      <c r="H34" s="5" t="s">
        <v>148</v>
      </c>
      <c r="I34" s="5" t="s">
        <v>147</v>
      </c>
      <c r="L34" s="14" t="s">
        <v>305</v>
      </c>
      <c r="N34" s="14" t="s">
        <v>305</v>
      </c>
      <c r="P34" s="14" t="s">
        <v>305</v>
      </c>
    </row>
    <row r="35" spans="1:16" customFormat="1" ht="40.5" x14ac:dyDescent="0.15">
      <c r="A35">
        <v>34</v>
      </c>
      <c r="B35" s="16"/>
      <c r="C35" s="6"/>
      <c r="D35" s="6" t="s">
        <v>149</v>
      </c>
      <c r="E35" s="6">
        <v>2</v>
      </c>
      <c r="F35" s="6" t="s">
        <v>149</v>
      </c>
      <c r="G35" s="6" t="s">
        <v>252</v>
      </c>
      <c r="H35" s="5" t="s">
        <v>151</v>
      </c>
      <c r="I35" s="5" t="s">
        <v>152</v>
      </c>
      <c r="L35" s="14" t="s">
        <v>305</v>
      </c>
      <c r="N35" s="14" t="s">
        <v>305</v>
      </c>
      <c r="P35" s="14" t="s">
        <v>305</v>
      </c>
    </row>
    <row r="36" spans="1:16" customFormat="1" ht="81" x14ac:dyDescent="0.15">
      <c r="A36">
        <v>35</v>
      </c>
      <c r="B36" s="16"/>
      <c r="C36" s="6"/>
      <c r="D36" s="6" t="s">
        <v>141</v>
      </c>
      <c r="E36" s="6">
        <v>2</v>
      </c>
      <c r="F36" s="6" t="s">
        <v>141</v>
      </c>
      <c r="G36" s="6" t="s">
        <v>252</v>
      </c>
      <c r="H36" s="5" t="s">
        <v>142</v>
      </c>
      <c r="I36" s="5" t="s">
        <v>143</v>
      </c>
      <c r="L36" s="14" t="s">
        <v>305</v>
      </c>
      <c r="N36" s="14" t="s">
        <v>305</v>
      </c>
      <c r="P36" s="14" t="s">
        <v>305</v>
      </c>
    </row>
    <row r="37" spans="1:16" customFormat="1" ht="108" x14ac:dyDescent="0.15">
      <c r="A37">
        <v>36</v>
      </c>
      <c r="B37" s="22" t="s">
        <v>155</v>
      </c>
      <c r="C37" s="6" t="s">
        <v>158</v>
      </c>
      <c r="D37" s="6" t="s">
        <v>158</v>
      </c>
      <c r="E37" s="6">
        <v>2</v>
      </c>
      <c r="F37" s="6" t="s">
        <v>158</v>
      </c>
      <c r="G37" s="6" t="s">
        <v>250</v>
      </c>
      <c r="H37" s="6" t="s">
        <v>163</v>
      </c>
      <c r="I37" s="5" t="s">
        <v>164</v>
      </c>
      <c r="L37" s="14" t="s">
        <v>305</v>
      </c>
      <c r="N37" s="14" t="s">
        <v>305</v>
      </c>
      <c r="P37" s="14" t="s">
        <v>305</v>
      </c>
    </row>
    <row r="38" spans="1:16" customFormat="1" ht="108" x14ac:dyDescent="0.15">
      <c r="A38">
        <v>37</v>
      </c>
      <c r="B38" s="22"/>
      <c r="C38" s="6" t="s">
        <v>159</v>
      </c>
      <c r="D38" s="6" t="s">
        <v>159</v>
      </c>
      <c r="E38" s="6">
        <v>2</v>
      </c>
      <c r="F38" s="6" t="s">
        <v>159</v>
      </c>
      <c r="G38" s="6" t="s">
        <v>322</v>
      </c>
      <c r="H38" s="6" t="s">
        <v>161</v>
      </c>
      <c r="I38" s="5" t="s">
        <v>165</v>
      </c>
      <c r="L38" s="14" t="s">
        <v>305</v>
      </c>
      <c r="N38" s="14" t="s">
        <v>305</v>
      </c>
      <c r="P38" s="14" t="s">
        <v>305</v>
      </c>
    </row>
    <row r="39" spans="1:16" customFormat="1" ht="108" x14ac:dyDescent="0.15">
      <c r="A39">
        <v>38</v>
      </c>
      <c r="B39" s="22"/>
      <c r="C39" s="6" t="s">
        <v>160</v>
      </c>
      <c r="D39" s="6" t="s">
        <v>160</v>
      </c>
      <c r="E39" s="6">
        <v>2</v>
      </c>
      <c r="F39" s="6" t="s">
        <v>160</v>
      </c>
      <c r="G39" s="6" t="s">
        <v>323</v>
      </c>
      <c r="H39" s="6" t="s">
        <v>162</v>
      </c>
      <c r="I39" s="5" t="s">
        <v>327</v>
      </c>
      <c r="L39" s="14" t="s">
        <v>305</v>
      </c>
      <c r="N39" s="14" t="s">
        <v>305</v>
      </c>
      <c r="P39" s="14" t="s">
        <v>305</v>
      </c>
    </row>
    <row r="40" spans="1:16" customFormat="1" ht="81" x14ac:dyDescent="0.15">
      <c r="A40">
        <v>39</v>
      </c>
      <c r="B40" s="17" t="s">
        <v>156</v>
      </c>
      <c r="C40" s="5" t="s">
        <v>244</v>
      </c>
      <c r="D40" s="5" t="s">
        <v>244</v>
      </c>
      <c r="E40" s="6">
        <v>2</v>
      </c>
      <c r="F40" s="5" t="s">
        <v>244</v>
      </c>
      <c r="G40" s="6" t="s">
        <v>250</v>
      </c>
      <c r="H40" s="5" t="s">
        <v>166</v>
      </c>
      <c r="I40" s="5" t="s">
        <v>167</v>
      </c>
      <c r="L40" s="14" t="s">
        <v>305</v>
      </c>
      <c r="N40" s="14" t="s">
        <v>305</v>
      </c>
      <c r="P40" s="14" t="s">
        <v>305</v>
      </c>
    </row>
    <row r="41" spans="1:16" customFormat="1" ht="40.5" x14ac:dyDescent="0.15">
      <c r="A41">
        <v>40</v>
      </c>
      <c r="B41" s="23" t="s">
        <v>169</v>
      </c>
      <c r="C41" s="6" t="s">
        <v>170</v>
      </c>
      <c r="D41" s="6" t="s">
        <v>170</v>
      </c>
      <c r="E41" s="6">
        <v>2</v>
      </c>
      <c r="F41" s="6" t="s">
        <v>170</v>
      </c>
      <c r="G41" s="6" t="s">
        <v>172</v>
      </c>
      <c r="H41" s="6" t="s">
        <v>173</v>
      </c>
      <c r="I41" s="5" t="s">
        <v>174</v>
      </c>
      <c r="L41" s="14" t="s">
        <v>305</v>
      </c>
      <c r="N41" s="14" t="s">
        <v>305</v>
      </c>
      <c r="P41" s="14" t="s">
        <v>305</v>
      </c>
    </row>
    <row r="42" spans="1:16" customFormat="1" ht="40.5" x14ac:dyDescent="0.15">
      <c r="A42">
        <v>41</v>
      </c>
      <c r="B42" s="19"/>
      <c r="C42" s="6"/>
      <c r="D42" s="6" t="s">
        <v>175</v>
      </c>
      <c r="E42" s="6">
        <v>2</v>
      </c>
      <c r="F42" s="6" t="s">
        <v>175</v>
      </c>
      <c r="G42" s="6" t="s">
        <v>177</v>
      </c>
      <c r="H42" s="6" t="s">
        <v>176</v>
      </c>
      <c r="I42" s="5" t="s">
        <v>324</v>
      </c>
      <c r="L42" s="14" t="s">
        <v>305</v>
      </c>
      <c r="N42" s="14" t="s">
        <v>305</v>
      </c>
      <c r="P42" s="14" t="s">
        <v>305</v>
      </c>
    </row>
    <row r="43" spans="1:16" customFormat="1" x14ac:dyDescent="0.15">
      <c r="A43">
        <v>42</v>
      </c>
      <c r="B43" s="19"/>
      <c r="C43" s="6"/>
      <c r="D43" s="6" t="s">
        <v>178</v>
      </c>
      <c r="E43" s="6">
        <v>2</v>
      </c>
      <c r="F43" s="6" t="s">
        <v>178</v>
      </c>
      <c r="G43" s="6" t="s">
        <v>182</v>
      </c>
      <c r="H43" s="6" t="s">
        <v>184</v>
      </c>
      <c r="I43" s="5" t="s">
        <v>185</v>
      </c>
      <c r="L43" s="14" t="s">
        <v>305</v>
      </c>
      <c r="N43" s="14" t="s">
        <v>305</v>
      </c>
      <c r="P43" s="14" t="s">
        <v>305</v>
      </c>
    </row>
    <row r="44" spans="1:16" customFormat="1" x14ac:dyDescent="0.15">
      <c r="A44">
        <v>43</v>
      </c>
      <c r="B44" s="19"/>
      <c r="C44" s="6"/>
      <c r="D44" s="6" t="s">
        <v>179</v>
      </c>
      <c r="E44" s="6">
        <v>2</v>
      </c>
      <c r="F44" s="6" t="s">
        <v>179</v>
      </c>
      <c r="G44" s="6" t="s">
        <v>183</v>
      </c>
      <c r="H44" s="6" t="s">
        <v>179</v>
      </c>
      <c r="I44" s="5" t="s">
        <v>186</v>
      </c>
      <c r="L44" s="14" t="s">
        <v>305</v>
      </c>
      <c r="N44" s="14" t="s">
        <v>305</v>
      </c>
      <c r="P44" s="14" t="s">
        <v>305</v>
      </c>
    </row>
    <row r="45" spans="1:16" customFormat="1" x14ac:dyDescent="0.15">
      <c r="A45">
        <v>44</v>
      </c>
      <c r="B45" s="19"/>
      <c r="C45" s="6"/>
      <c r="D45" s="6" t="s">
        <v>180</v>
      </c>
      <c r="E45" s="6">
        <v>2</v>
      </c>
      <c r="F45" s="6" t="s">
        <v>180</v>
      </c>
      <c r="G45" s="6" t="s">
        <v>182</v>
      </c>
      <c r="H45" s="6" t="s">
        <v>180</v>
      </c>
      <c r="I45" s="5" t="s">
        <v>187</v>
      </c>
      <c r="L45" s="14" t="s">
        <v>305</v>
      </c>
      <c r="N45" s="14" t="s">
        <v>305</v>
      </c>
      <c r="P45" s="14" t="s">
        <v>305</v>
      </c>
    </row>
    <row r="46" spans="1:16" x14ac:dyDescent="0.15">
      <c r="A46">
        <v>45</v>
      </c>
      <c r="B46" s="19"/>
      <c r="D46" s="5" t="s">
        <v>181</v>
      </c>
      <c r="E46" s="6">
        <v>2</v>
      </c>
      <c r="F46" s="5" t="s">
        <v>181</v>
      </c>
      <c r="G46" s="6" t="s">
        <v>182</v>
      </c>
      <c r="H46" s="5" t="s">
        <v>181</v>
      </c>
      <c r="I46" s="5" t="s">
        <v>191</v>
      </c>
      <c r="L46" s="14" t="s">
        <v>305</v>
      </c>
      <c r="N46" s="14" t="s">
        <v>305</v>
      </c>
      <c r="P46" s="14" t="s">
        <v>305</v>
      </c>
    </row>
    <row r="47" spans="1:16" ht="27" x14ac:dyDescent="0.15">
      <c r="A47">
        <v>46</v>
      </c>
      <c r="B47" s="19"/>
      <c r="D47" s="5" t="s">
        <v>188</v>
      </c>
      <c r="E47" s="6">
        <v>2</v>
      </c>
      <c r="F47" s="5" t="s">
        <v>188</v>
      </c>
      <c r="G47" s="5" t="s">
        <v>187</v>
      </c>
      <c r="H47" s="5" t="s">
        <v>189</v>
      </c>
      <c r="I47" s="5" t="s">
        <v>190</v>
      </c>
      <c r="L47" s="14" t="s">
        <v>305</v>
      </c>
      <c r="N47" s="14" t="s">
        <v>305</v>
      </c>
      <c r="P47" s="14" t="s">
        <v>305</v>
      </c>
    </row>
    <row r="48" spans="1:16" ht="27" x14ac:dyDescent="0.15">
      <c r="A48">
        <v>47</v>
      </c>
      <c r="B48" s="19"/>
      <c r="D48" s="5" t="s">
        <v>192</v>
      </c>
      <c r="E48" s="6">
        <v>2</v>
      </c>
      <c r="F48" s="5" t="s">
        <v>192</v>
      </c>
      <c r="G48" s="5" t="s">
        <v>191</v>
      </c>
      <c r="H48" s="5" t="s">
        <v>189</v>
      </c>
      <c r="I48" s="5" t="s">
        <v>190</v>
      </c>
      <c r="L48" s="14" t="s">
        <v>305</v>
      </c>
      <c r="N48" s="14" t="s">
        <v>305</v>
      </c>
      <c r="P48" s="14" t="s">
        <v>305</v>
      </c>
    </row>
    <row r="49" spans="1:16" ht="54" x14ac:dyDescent="0.15">
      <c r="A49">
        <v>48</v>
      </c>
      <c r="B49" s="19"/>
      <c r="C49" s="6" t="s">
        <v>171</v>
      </c>
      <c r="D49" s="5" t="s">
        <v>194</v>
      </c>
      <c r="E49" s="6">
        <v>2</v>
      </c>
      <c r="F49" s="5" t="s">
        <v>194</v>
      </c>
      <c r="G49" s="5" t="s">
        <v>195</v>
      </c>
      <c r="H49" s="5" t="s">
        <v>196</v>
      </c>
      <c r="I49" s="5" t="s">
        <v>197</v>
      </c>
      <c r="L49" s="33" t="s">
        <v>321</v>
      </c>
      <c r="N49" s="14" t="s">
        <v>305</v>
      </c>
      <c r="P49" s="14" t="s">
        <v>305</v>
      </c>
    </row>
    <row r="50" spans="1:16" ht="40.5" x14ac:dyDescent="0.15">
      <c r="A50">
        <v>49</v>
      </c>
      <c r="B50" s="19"/>
      <c r="C50" s="6"/>
      <c r="D50" s="5" t="s">
        <v>198</v>
      </c>
      <c r="E50" s="6">
        <v>2</v>
      </c>
      <c r="F50" s="5" t="s">
        <v>198</v>
      </c>
      <c r="G50" s="5" t="s">
        <v>196</v>
      </c>
      <c r="H50" s="5" t="s">
        <v>199</v>
      </c>
      <c r="I50" s="5" t="s">
        <v>340</v>
      </c>
      <c r="L50" s="14" t="s">
        <v>305</v>
      </c>
      <c r="N50" s="14" t="s">
        <v>305</v>
      </c>
      <c r="P50" s="14" t="s">
        <v>305</v>
      </c>
    </row>
    <row r="51" spans="1:16" customFormat="1" ht="67.5" x14ac:dyDescent="0.15">
      <c r="A51">
        <v>50</v>
      </c>
      <c r="B51" s="19"/>
      <c r="C51" s="5"/>
      <c r="D51" s="6" t="s">
        <v>200</v>
      </c>
      <c r="E51" s="6">
        <v>2</v>
      </c>
      <c r="F51" s="6" t="s">
        <v>200</v>
      </c>
      <c r="G51" s="5" t="s">
        <v>330</v>
      </c>
      <c r="H51" s="5" t="s">
        <v>193</v>
      </c>
      <c r="I51" s="5" t="s">
        <v>202</v>
      </c>
      <c r="L51" s="33" t="s">
        <v>321</v>
      </c>
      <c r="N51" s="14" t="s">
        <v>305</v>
      </c>
      <c r="P51" s="14" t="s">
        <v>305</v>
      </c>
    </row>
    <row r="52" spans="1:16" customFormat="1" ht="54" x14ac:dyDescent="0.15">
      <c r="A52">
        <v>51</v>
      </c>
      <c r="B52" s="19"/>
      <c r="C52" s="6"/>
      <c r="D52" s="6" t="s">
        <v>201</v>
      </c>
      <c r="E52" s="6">
        <v>2</v>
      </c>
      <c r="F52" s="6" t="s">
        <v>201</v>
      </c>
      <c r="G52" s="5" t="s">
        <v>203</v>
      </c>
      <c r="H52" s="5" t="s">
        <v>204</v>
      </c>
      <c r="I52" s="5" t="s">
        <v>205</v>
      </c>
      <c r="L52" s="33" t="s">
        <v>321</v>
      </c>
      <c r="N52" s="14" t="s">
        <v>305</v>
      </c>
      <c r="P52" s="14" t="s">
        <v>305</v>
      </c>
    </row>
    <row r="53" spans="1:16" customFormat="1" ht="67.5" x14ac:dyDescent="0.15">
      <c r="A53">
        <v>52</v>
      </c>
      <c r="B53" s="19"/>
      <c r="C53" s="6"/>
      <c r="D53" s="6" t="s">
        <v>331</v>
      </c>
      <c r="E53" s="6">
        <v>2</v>
      </c>
      <c r="F53" s="6" t="s">
        <v>331</v>
      </c>
      <c r="G53" s="5" t="s">
        <v>343</v>
      </c>
      <c r="H53" s="5" t="s">
        <v>332</v>
      </c>
      <c r="I53" s="5" t="s">
        <v>333</v>
      </c>
      <c r="L53" s="33"/>
      <c r="N53" s="14" t="s">
        <v>305</v>
      </c>
      <c r="P53" s="14" t="s">
        <v>305</v>
      </c>
    </row>
    <row r="54" spans="1:16" customFormat="1" ht="27" x14ac:dyDescent="0.15">
      <c r="A54">
        <v>53</v>
      </c>
      <c r="B54" s="20" t="s">
        <v>157</v>
      </c>
      <c r="C54" s="6" t="s">
        <v>254</v>
      </c>
      <c r="D54" s="5" t="s">
        <v>215</v>
      </c>
      <c r="E54" s="6">
        <v>2</v>
      </c>
      <c r="F54" s="5" t="s">
        <v>215</v>
      </c>
      <c r="G54" s="5" t="s">
        <v>216</v>
      </c>
      <c r="H54" s="5" t="s">
        <v>217</v>
      </c>
      <c r="I54" s="5" t="s">
        <v>218</v>
      </c>
      <c r="L54" s="14" t="s">
        <v>305</v>
      </c>
      <c r="N54" s="14" t="s">
        <v>305</v>
      </c>
      <c r="P54" s="14" t="s">
        <v>305</v>
      </c>
    </row>
    <row r="55" spans="1:16" customFormat="1" ht="27" x14ac:dyDescent="0.15">
      <c r="A55">
        <v>54</v>
      </c>
      <c r="B55" s="20"/>
      <c r="C55" s="5"/>
      <c r="D55" s="5" t="s">
        <v>208</v>
      </c>
      <c r="E55" s="6">
        <v>2</v>
      </c>
      <c r="F55" s="5" t="s">
        <v>208</v>
      </c>
      <c r="G55" s="5" t="s">
        <v>206</v>
      </c>
      <c r="H55" s="5" t="s">
        <v>210</v>
      </c>
      <c r="I55" s="5" t="s">
        <v>211</v>
      </c>
      <c r="L55" s="14" t="s">
        <v>305</v>
      </c>
      <c r="N55" s="14" t="s">
        <v>305</v>
      </c>
      <c r="P55" s="14" t="s">
        <v>305</v>
      </c>
    </row>
    <row r="56" spans="1:16" customFormat="1" ht="27" x14ac:dyDescent="0.15">
      <c r="A56">
        <v>55</v>
      </c>
      <c r="B56" s="20"/>
      <c r="C56" s="6"/>
      <c r="D56" s="5" t="s">
        <v>209</v>
      </c>
      <c r="E56" s="6">
        <v>2</v>
      </c>
      <c r="F56" s="5" t="s">
        <v>209</v>
      </c>
      <c r="G56" s="5" t="s">
        <v>207</v>
      </c>
      <c r="H56" s="5" t="s">
        <v>210</v>
      </c>
      <c r="I56" s="5" t="s">
        <v>211</v>
      </c>
      <c r="L56" s="14" t="s">
        <v>305</v>
      </c>
      <c r="N56" s="14" t="s">
        <v>305</v>
      </c>
      <c r="P56" s="14" t="s">
        <v>305</v>
      </c>
    </row>
    <row r="57" spans="1:16" customFormat="1" ht="27" x14ac:dyDescent="0.15">
      <c r="A57">
        <v>56</v>
      </c>
      <c r="B57" s="20"/>
      <c r="C57" s="6"/>
      <c r="D57" s="5" t="s">
        <v>212</v>
      </c>
      <c r="E57" s="6">
        <v>2</v>
      </c>
      <c r="F57" s="5" t="s">
        <v>212</v>
      </c>
      <c r="G57" s="5" t="s">
        <v>213</v>
      </c>
      <c r="H57" s="5" t="s">
        <v>210</v>
      </c>
      <c r="I57" s="5" t="s">
        <v>214</v>
      </c>
      <c r="L57" s="14" t="s">
        <v>305</v>
      </c>
      <c r="N57" s="14" t="s">
        <v>305</v>
      </c>
      <c r="P57" s="14" t="s">
        <v>305</v>
      </c>
    </row>
    <row r="58" spans="1:16" customFormat="1" ht="27" x14ac:dyDescent="0.15">
      <c r="A58">
        <v>57</v>
      </c>
      <c r="B58" s="20"/>
      <c r="C58" s="6"/>
      <c r="D58" s="5" t="s">
        <v>219</v>
      </c>
      <c r="E58" s="6">
        <v>2</v>
      </c>
      <c r="F58" s="5" t="s">
        <v>219</v>
      </c>
      <c r="G58" s="5" t="s">
        <v>221</v>
      </c>
      <c r="H58" s="5" t="s">
        <v>223</v>
      </c>
      <c r="I58" s="5" t="s">
        <v>224</v>
      </c>
      <c r="L58" s="14" t="s">
        <v>305</v>
      </c>
      <c r="N58" s="14" t="s">
        <v>305</v>
      </c>
      <c r="P58" s="14" t="s">
        <v>305</v>
      </c>
    </row>
    <row r="59" spans="1:16" customFormat="1" ht="27" x14ac:dyDescent="0.15">
      <c r="A59">
        <v>58</v>
      </c>
      <c r="B59" s="20"/>
      <c r="C59" s="6"/>
      <c r="D59" s="5" t="s">
        <v>220</v>
      </c>
      <c r="E59" s="6">
        <v>2</v>
      </c>
      <c r="F59" s="5" t="s">
        <v>220</v>
      </c>
      <c r="G59" s="5" t="s">
        <v>222</v>
      </c>
      <c r="H59" s="5" t="s">
        <v>223</v>
      </c>
      <c r="I59" s="5" t="s">
        <v>224</v>
      </c>
      <c r="L59" s="14" t="s">
        <v>305</v>
      </c>
      <c r="N59" s="14" t="s">
        <v>305</v>
      </c>
      <c r="P59" s="14" t="s">
        <v>305</v>
      </c>
    </row>
    <row r="60" spans="1:16" ht="54" x14ac:dyDescent="0.15">
      <c r="A60">
        <v>59</v>
      </c>
      <c r="B60" s="18" t="s">
        <v>168</v>
      </c>
      <c r="C60" s="5" t="s">
        <v>225</v>
      </c>
      <c r="D60" s="5" t="s">
        <v>226</v>
      </c>
      <c r="E60" s="6">
        <v>2</v>
      </c>
      <c r="F60" s="5" t="s">
        <v>226</v>
      </c>
      <c r="G60" s="5" t="s">
        <v>227</v>
      </c>
      <c r="H60" s="5" t="s">
        <v>228</v>
      </c>
      <c r="I60" s="5" t="s">
        <v>229</v>
      </c>
      <c r="J60" s="6" t="s">
        <v>326</v>
      </c>
      <c r="N60" s="14" t="s">
        <v>305</v>
      </c>
      <c r="P60" s="14" t="s">
        <v>305</v>
      </c>
    </row>
    <row r="61" spans="1:16" x14ac:dyDescent="0.15">
      <c r="A61">
        <v>60</v>
      </c>
      <c r="B61" s="18"/>
      <c r="C61" s="5" t="s">
        <v>230</v>
      </c>
      <c r="D61" s="5" t="s">
        <v>231</v>
      </c>
      <c r="E61" s="6">
        <v>2</v>
      </c>
      <c r="F61" s="5" t="s">
        <v>231</v>
      </c>
      <c r="G61" s="5" t="s">
        <v>232</v>
      </c>
      <c r="H61" s="5" t="s">
        <v>233</v>
      </c>
      <c r="I61" s="5" t="s">
        <v>234</v>
      </c>
      <c r="L61" s="14" t="s">
        <v>305</v>
      </c>
      <c r="N61" s="14" t="s">
        <v>305</v>
      </c>
      <c r="P61" s="14" t="s">
        <v>305</v>
      </c>
    </row>
    <row r="62" spans="1:16" ht="54" x14ac:dyDescent="0.15">
      <c r="A62">
        <v>61</v>
      </c>
      <c r="B62" s="18"/>
      <c r="D62" s="5" t="s">
        <v>235</v>
      </c>
      <c r="E62" s="6">
        <v>2</v>
      </c>
      <c r="F62" s="5" t="s">
        <v>235</v>
      </c>
      <c r="G62" s="5" t="s">
        <v>232</v>
      </c>
      <c r="H62" s="5" t="s">
        <v>341</v>
      </c>
      <c r="I62" s="5" t="s">
        <v>342</v>
      </c>
      <c r="L62" s="14" t="s">
        <v>305</v>
      </c>
      <c r="N62" s="14" t="s">
        <v>305</v>
      </c>
      <c r="P62" s="14" t="s">
        <v>305</v>
      </c>
    </row>
    <row r="63" spans="1:16" x14ac:dyDescent="0.15">
      <c r="A63">
        <v>62</v>
      </c>
      <c r="B63" s="18"/>
      <c r="D63" s="5" t="s">
        <v>236</v>
      </c>
      <c r="E63" s="6">
        <v>2</v>
      </c>
      <c r="F63" s="5" t="s">
        <v>236</v>
      </c>
      <c r="G63" s="5" t="s">
        <v>232</v>
      </c>
      <c r="H63" s="5" t="s">
        <v>239</v>
      </c>
      <c r="I63" s="5" t="s">
        <v>237</v>
      </c>
      <c r="L63" s="14" t="s">
        <v>305</v>
      </c>
      <c r="N63" s="14" t="s">
        <v>305</v>
      </c>
      <c r="P63" s="14" t="s">
        <v>305</v>
      </c>
    </row>
    <row r="64" spans="1:16" x14ac:dyDescent="0.15">
      <c r="A64">
        <v>63</v>
      </c>
      <c r="B64" s="18"/>
      <c r="D64" s="5" t="s">
        <v>238</v>
      </c>
      <c r="E64" s="6">
        <v>2</v>
      </c>
      <c r="F64" s="5" t="s">
        <v>238</v>
      </c>
      <c r="G64" s="5" t="s">
        <v>232</v>
      </c>
      <c r="H64" s="5" t="s">
        <v>240</v>
      </c>
      <c r="I64" s="5" t="s">
        <v>241</v>
      </c>
      <c r="L64" s="14" t="s">
        <v>305</v>
      </c>
      <c r="N64" s="14" t="s">
        <v>305</v>
      </c>
      <c r="P64" s="14" t="s">
        <v>305</v>
      </c>
    </row>
    <row r="65" spans="1:16" ht="54" x14ac:dyDescent="0.15">
      <c r="A65">
        <v>64</v>
      </c>
      <c r="B65" s="18"/>
      <c r="D65" s="5" t="s">
        <v>242</v>
      </c>
      <c r="E65" s="6">
        <v>2</v>
      </c>
      <c r="F65" s="5" t="s">
        <v>242</v>
      </c>
      <c r="G65" s="5" t="s">
        <v>232</v>
      </c>
      <c r="H65" s="5" t="s">
        <v>341</v>
      </c>
      <c r="I65" s="5" t="s">
        <v>342</v>
      </c>
      <c r="L65" s="14" t="s">
        <v>305</v>
      </c>
      <c r="N65" s="14" t="s">
        <v>305</v>
      </c>
      <c r="P65" s="14" t="s">
        <v>305</v>
      </c>
    </row>
    <row r="66" spans="1:16" ht="54" x14ac:dyDescent="0.15">
      <c r="A66">
        <v>65</v>
      </c>
      <c r="B66" s="18"/>
      <c r="D66" s="5" t="s">
        <v>243</v>
      </c>
      <c r="E66" s="6">
        <v>2</v>
      </c>
      <c r="F66" s="5" t="s">
        <v>243</v>
      </c>
      <c r="G66" s="5" t="s">
        <v>232</v>
      </c>
      <c r="H66" s="5" t="s">
        <v>341</v>
      </c>
      <c r="I66" s="5" t="s">
        <v>342</v>
      </c>
      <c r="L66" s="14" t="s">
        <v>305</v>
      </c>
      <c r="N66" s="14" t="s">
        <v>305</v>
      </c>
      <c r="P66" s="14" t="s">
        <v>305</v>
      </c>
    </row>
    <row r="67" spans="1:16" x14ac:dyDescent="0.15">
      <c r="A67"/>
      <c r="B67" s="5"/>
    </row>
    <row r="68" spans="1:16" x14ac:dyDescent="0.15">
      <c r="A68"/>
    </row>
    <row r="69" spans="1:16" x14ac:dyDescent="0.15">
      <c r="A69"/>
    </row>
    <row r="70" spans="1:16" x14ac:dyDescent="0.15">
      <c r="A70"/>
    </row>
    <row r="71" spans="1:16" x14ac:dyDescent="0.15">
      <c r="A71"/>
    </row>
    <row r="72" spans="1:16" x14ac:dyDescent="0.15">
      <c r="A72"/>
    </row>
    <row r="73" spans="1:16" x14ac:dyDescent="0.15">
      <c r="A73"/>
    </row>
    <row r="74" spans="1:16" x14ac:dyDescent="0.15">
      <c r="A74"/>
    </row>
    <row r="75" spans="1:16" x14ac:dyDescent="0.15">
      <c r="A75"/>
    </row>
    <row r="76" spans="1:16" x14ac:dyDescent="0.15">
      <c r="A76"/>
    </row>
    <row r="77" spans="1:16" x14ac:dyDescent="0.15">
      <c r="A77"/>
    </row>
    <row r="78" spans="1:16" x14ac:dyDescent="0.15">
      <c r="A78"/>
    </row>
    <row r="79" spans="1:16" x14ac:dyDescent="0.15">
      <c r="A79"/>
    </row>
    <row r="80" spans="1:16" x14ac:dyDescent="0.15">
      <c r="A80"/>
    </row>
    <row r="81" spans="1:1" x14ac:dyDescent="0.15">
      <c r="A81"/>
    </row>
    <row r="82" spans="1:1" x14ac:dyDescent="0.15">
      <c r="A82"/>
    </row>
    <row r="83" spans="1:1" x14ac:dyDescent="0.15">
      <c r="A83"/>
    </row>
    <row r="84" spans="1:1" x14ac:dyDescent="0.15">
      <c r="A8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8"/>
  <sheetViews>
    <sheetView topLeftCell="C1" workbookViewId="0">
      <pane ySplit="1" topLeftCell="A77" activePane="bottomLeft" state="frozen"/>
      <selection pane="bottomLeft" activeCell="D100" sqref="D100"/>
    </sheetView>
  </sheetViews>
  <sheetFormatPr defaultRowHeight="13.5" x14ac:dyDescent="0.15"/>
  <cols>
    <col min="1" max="1" width="4.75" customWidth="1"/>
    <col min="2" max="2" width="15.5" customWidth="1"/>
    <col min="3" max="3" width="17.375" customWidth="1"/>
    <col min="4" max="4" width="57.75" customWidth="1"/>
    <col min="5" max="5" width="6.25" customWidth="1"/>
    <col min="6" max="6" width="5" customWidth="1"/>
    <col min="7" max="11" width="0" hidden="1" customWidth="1"/>
    <col min="13" max="13" width="1.25" customWidth="1"/>
    <col min="14" max="14" width="8.375" customWidth="1"/>
    <col min="15" max="15" width="1.625" customWidth="1"/>
    <col min="16" max="16" width="13.5" customWidth="1"/>
    <col min="17" max="17" width="12.5" customWidth="1"/>
  </cols>
  <sheetData>
    <row r="1" spans="1:17" s="1" customFormat="1" x14ac:dyDescent="0.15">
      <c r="A1" s="1" t="s">
        <v>0</v>
      </c>
      <c r="B1" s="3" t="s">
        <v>6</v>
      </c>
      <c r="C1" s="1" t="s">
        <v>9</v>
      </c>
      <c r="D1" s="1" t="s">
        <v>1</v>
      </c>
      <c r="E1" s="1" t="s">
        <v>10</v>
      </c>
      <c r="F1" s="1" t="s">
        <v>11</v>
      </c>
      <c r="G1" s="1" t="s">
        <v>7</v>
      </c>
      <c r="H1" s="1" t="s">
        <v>12</v>
      </c>
      <c r="I1" s="1" t="s">
        <v>13</v>
      </c>
      <c r="J1" s="1" t="s">
        <v>8</v>
      </c>
      <c r="K1" s="1" t="s">
        <v>14</v>
      </c>
      <c r="L1" s="1" t="s">
        <v>15</v>
      </c>
      <c r="M1" s="1" t="s">
        <v>16</v>
      </c>
      <c r="N1" s="1" t="s">
        <v>2</v>
      </c>
      <c r="O1" s="1" t="s">
        <v>3</v>
      </c>
      <c r="P1" s="1" t="s">
        <v>4</v>
      </c>
      <c r="Q1" s="1" t="s">
        <v>5</v>
      </c>
    </row>
    <row r="77" spans="3:4" x14ac:dyDescent="0.15">
      <c r="C77" t="s">
        <v>334</v>
      </c>
      <c r="D77" t="s">
        <v>335</v>
      </c>
    </row>
    <row r="78" spans="3:4" x14ac:dyDescent="0.15">
      <c r="D78" t="s">
        <v>336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>
      <pane ySplit="1" topLeftCell="A83" activePane="bottomLeft" state="frozen"/>
      <selection pane="bottomLeft" activeCell="I117" sqref="I117"/>
    </sheetView>
  </sheetViews>
  <sheetFormatPr defaultRowHeight="13.5" x14ac:dyDescent="0.15"/>
  <cols>
    <col min="1" max="1" width="4.75" customWidth="1"/>
    <col min="3" max="3" width="11.875" customWidth="1"/>
    <col min="4" max="4" width="23.75" customWidth="1"/>
    <col min="5" max="5" width="6.25" customWidth="1"/>
    <col min="6" max="6" width="18.375" customWidth="1"/>
    <col min="7" max="7" width="23" customWidth="1"/>
    <col min="8" max="8" width="26.25" customWidth="1"/>
    <col min="9" max="9" width="31.75" customWidth="1"/>
    <col min="10" max="10" width="18.125" customWidth="1"/>
    <col min="11" max="11" width="9.75" customWidth="1"/>
    <col min="14" max="14" width="13" customWidth="1"/>
    <col min="15" max="15" width="1.625" customWidth="1"/>
    <col min="16" max="16" width="13.5" customWidth="1"/>
    <col min="17" max="17" width="12.5" customWidth="1"/>
  </cols>
  <sheetData>
    <row r="1" spans="1:17" s="1" customFormat="1" x14ac:dyDescent="0.1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tabSelected="1" workbookViewId="0">
      <selection activeCell="I46" sqref="I46"/>
    </sheetView>
  </sheetViews>
  <sheetFormatPr defaultRowHeight="13.5" x14ac:dyDescent="0.15"/>
  <cols>
    <col min="1" max="1" width="4.75" customWidth="1"/>
    <col min="2" max="2" width="13.25" customWidth="1"/>
    <col min="3" max="3" width="24.5" customWidth="1"/>
    <col min="4" max="4" width="2" customWidth="1"/>
    <col min="5" max="5" width="0.625" customWidth="1"/>
    <col min="6" max="6" width="18.375" hidden="1" customWidth="1"/>
    <col min="7" max="7" width="23" customWidth="1"/>
    <col min="8" max="8" width="40.75" customWidth="1"/>
    <col min="9" max="9" width="31.75" customWidth="1"/>
    <col min="10" max="10" width="14.5" customWidth="1"/>
    <col min="11" max="11" width="9.75" hidden="1" customWidth="1"/>
    <col min="12" max="12" width="12.75" customWidth="1"/>
    <col min="14" max="14" width="13" customWidth="1"/>
    <col min="15" max="15" width="13.125" customWidth="1"/>
    <col min="16" max="16" width="13.5" customWidth="1"/>
    <col min="17" max="17" width="12.5" customWidth="1"/>
  </cols>
  <sheetData>
    <row r="1" spans="1:17" s="1" customFormat="1" x14ac:dyDescent="0.15">
      <c r="A1" s="1" t="s">
        <v>0</v>
      </c>
      <c r="B1" s="1" t="s">
        <v>6</v>
      </c>
      <c r="C1" s="1" t="s">
        <v>9</v>
      </c>
      <c r="D1" s="1" t="s">
        <v>1</v>
      </c>
      <c r="E1" s="1" t="s">
        <v>10</v>
      </c>
      <c r="F1" s="1" t="s">
        <v>11</v>
      </c>
      <c r="G1" s="1" t="s">
        <v>7</v>
      </c>
      <c r="H1" s="1" t="s">
        <v>12</v>
      </c>
      <c r="I1" s="1" t="s">
        <v>13</v>
      </c>
      <c r="J1" s="1" t="s">
        <v>8</v>
      </c>
      <c r="K1" s="1" t="s">
        <v>14</v>
      </c>
      <c r="L1" s="1" t="s">
        <v>15</v>
      </c>
      <c r="M1" s="1" t="s">
        <v>16</v>
      </c>
      <c r="N1" s="1" t="s">
        <v>2</v>
      </c>
      <c r="O1" s="1" t="s">
        <v>3</v>
      </c>
      <c r="P1" s="1" t="s">
        <v>4</v>
      </c>
      <c r="Q1" s="1" t="s">
        <v>5</v>
      </c>
    </row>
    <row r="2" spans="1:17" ht="54" x14ac:dyDescent="0.15">
      <c r="A2">
        <v>1</v>
      </c>
      <c r="B2" s="14" t="s">
        <v>28</v>
      </c>
      <c r="C2" t="s">
        <v>28</v>
      </c>
      <c r="H2" s="2" t="s">
        <v>76</v>
      </c>
      <c r="I2" s="2" t="s">
        <v>29</v>
      </c>
      <c r="J2" s="2" t="s">
        <v>78</v>
      </c>
      <c r="L2" s="14" t="s">
        <v>379</v>
      </c>
    </row>
    <row r="3" spans="1:17" x14ac:dyDescent="0.15">
      <c r="A3">
        <v>2</v>
      </c>
      <c r="B3" s="14"/>
      <c r="C3" t="s">
        <v>34</v>
      </c>
      <c r="L3" s="14" t="s">
        <v>379</v>
      </c>
    </row>
    <row r="4" spans="1:17" x14ac:dyDescent="0.15">
      <c r="A4">
        <v>3</v>
      </c>
      <c r="B4" s="14"/>
      <c r="C4" t="s">
        <v>33</v>
      </c>
      <c r="L4" s="14" t="s">
        <v>381</v>
      </c>
    </row>
    <row r="5" spans="1:17" x14ac:dyDescent="0.15">
      <c r="A5">
        <v>4</v>
      </c>
      <c r="B5" s="37" t="s">
        <v>36</v>
      </c>
      <c r="C5" t="s">
        <v>30</v>
      </c>
      <c r="L5" s="14" t="s">
        <v>381</v>
      </c>
    </row>
    <row r="6" spans="1:17" x14ac:dyDescent="0.15">
      <c r="A6">
        <v>5</v>
      </c>
      <c r="B6" s="37"/>
      <c r="C6" t="s">
        <v>31</v>
      </c>
      <c r="L6" s="14" t="s">
        <v>381</v>
      </c>
    </row>
    <row r="7" spans="1:17" x14ac:dyDescent="0.15">
      <c r="A7">
        <v>6</v>
      </c>
      <c r="B7" s="37"/>
      <c r="C7" t="s">
        <v>32</v>
      </c>
      <c r="L7" s="14" t="s">
        <v>381</v>
      </c>
    </row>
    <row r="8" spans="1:17" x14ac:dyDescent="0.15">
      <c r="A8">
        <v>4</v>
      </c>
      <c r="B8" s="38" t="s">
        <v>37</v>
      </c>
      <c r="C8" t="s">
        <v>30</v>
      </c>
      <c r="L8" s="14" t="s">
        <v>381</v>
      </c>
    </row>
    <row r="9" spans="1:17" x14ac:dyDescent="0.15">
      <c r="A9">
        <v>5</v>
      </c>
      <c r="B9" s="38"/>
      <c r="C9" t="s">
        <v>31</v>
      </c>
      <c r="L9" s="14" t="s">
        <v>381</v>
      </c>
    </row>
    <row r="10" spans="1:17" x14ac:dyDescent="0.15">
      <c r="A10">
        <v>6</v>
      </c>
      <c r="B10" s="38"/>
      <c r="C10" t="s">
        <v>32</v>
      </c>
      <c r="L10" s="14" t="s">
        <v>381</v>
      </c>
    </row>
    <row r="11" spans="1:17" x14ac:dyDescent="0.15">
      <c r="A11">
        <v>7</v>
      </c>
      <c r="B11" s="39" t="s">
        <v>38</v>
      </c>
      <c r="C11" t="s">
        <v>35</v>
      </c>
      <c r="G11" t="s">
        <v>41</v>
      </c>
      <c r="I11" t="s">
        <v>40</v>
      </c>
      <c r="L11" s="14" t="s">
        <v>381</v>
      </c>
    </row>
    <row r="12" spans="1:17" x14ac:dyDescent="0.15">
      <c r="A12">
        <v>8</v>
      </c>
      <c r="B12" s="39"/>
      <c r="C12" t="s">
        <v>30</v>
      </c>
      <c r="G12" t="s">
        <v>41</v>
      </c>
      <c r="I12" t="s">
        <v>40</v>
      </c>
      <c r="L12" s="14" t="s">
        <v>381</v>
      </c>
    </row>
    <row r="13" spans="1:17" x14ac:dyDescent="0.15">
      <c r="A13">
        <v>9</v>
      </c>
      <c r="B13" s="39"/>
      <c r="C13" t="s">
        <v>31</v>
      </c>
      <c r="G13" t="s">
        <v>41</v>
      </c>
      <c r="I13" t="s">
        <v>40</v>
      </c>
      <c r="L13" s="14" t="s">
        <v>381</v>
      </c>
    </row>
    <row r="14" spans="1:17" x14ac:dyDescent="0.15">
      <c r="A14">
        <v>11</v>
      </c>
      <c r="B14" s="40" t="s">
        <v>39</v>
      </c>
      <c r="C14" t="s">
        <v>35</v>
      </c>
      <c r="G14" t="s">
        <v>41</v>
      </c>
      <c r="I14" t="s">
        <v>40</v>
      </c>
      <c r="L14" s="14" t="s">
        <v>381</v>
      </c>
    </row>
    <row r="15" spans="1:17" x14ac:dyDescent="0.15">
      <c r="A15">
        <v>12</v>
      </c>
      <c r="B15" s="40"/>
      <c r="C15" t="s">
        <v>30</v>
      </c>
      <c r="G15" t="s">
        <v>41</v>
      </c>
      <c r="I15" t="s">
        <v>79</v>
      </c>
      <c r="L15" s="14" t="s">
        <v>381</v>
      </c>
    </row>
    <row r="16" spans="1:17" x14ac:dyDescent="0.15">
      <c r="A16">
        <v>13</v>
      </c>
      <c r="B16" s="40"/>
      <c r="C16" t="s">
        <v>31</v>
      </c>
      <c r="G16" t="s">
        <v>41</v>
      </c>
      <c r="I16" t="s">
        <v>79</v>
      </c>
      <c r="L16" s="14" t="s">
        <v>381</v>
      </c>
    </row>
    <row r="17" spans="1:12" x14ac:dyDescent="0.15">
      <c r="B17" t="s">
        <v>62</v>
      </c>
      <c r="C17" t="s">
        <v>68</v>
      </c>
      <c r="H17" t="s">
        <v>344</v>
      </c>
      <c r="L17" t="s">
        <v>379</v>
      </c>
    </row>
    <row r="18" spans="1:12" x14ac:dyDescent="0.15">
      <c r="B18" s="41" t="s">
        <v>345</v>
      </c>
      <c r="C18" t="s">
        <v>347</v>
      </c>
      <c r="H18" t="s">
        <v>348</v>
      </c>
      <c r="L18" s="41" t="s">
        <v>386</v>
      </c>
    </row>
    <row r="19" spans="1:12" x14ac:dyDescent="0.15">
      <c r="B19" s="41"/>
      <c r="C19" t="s">
        <v>346</v>
      </c>
      <c r="H19" t="s">
        <v>348</v>
      </c>
      <c r="L19" s="41" t="s">
        <v>383</v>
      </c>
    </row>
    <row r="20" spans="1:12" x14ac:dyDescent="0.15">
      <c r="B20" s="41"/>
      <c r="C20" t="s">
        <v>67</v>
      </c>
      <c r="L20" s="41" t="s">
        <v>383</v>
      </c>
    </row>
    <row r="21" spans="1:12" x14ac:dyDescent="0.15">
      <c r="B21" s="4" t="s">
        <v>66</v>
      </c>
      <c r="C21" t="s">
        <v>374</v>
      </c>
      <c r="G21" t="s">
        <v>375</v>
      </c>
      <c r="H21" t="s">
        <v>71</v>
      </c>
      <c r="L21" s="4" t="s">
        <v>382</v>
      </c>
    </row>
    <row r="22" spans="1:12" x14ac:dyDescent="0.15">
      <c r="B22" s="4"/>
      <c r="C22" t="s">
        <v>69</v>
      </c>
      <c r="G22" t="s">
        <v>375</v>
      </c>
      <c r="H22" t="s">
        <v>71</v>
      </c>
      <c r="L22" s="4" t="s">
        <v>382</v>
      </c>
    </row>
    <row r="23" spans="1:12" x14ac:dyDescent="0.15">
      <c r="B23" s="4"/>
      <c r="C23" t="s">
        <v>70</v>
      </c>
      <c r="G23" t="s">
        <v>375</v>
      </c>
      <c r="H23" t="s">
        <v>71</v>
      </c>
      <c r="L23" s="4" t="s">
        <v>382</v>
      </c>
    </row>
    <row r="24" spans="1:12" x14ac:dyDescent="0.15">
      <c r="A24">
        <v>15</v>
      </c>
      <c r="B24" s="43" t="s">
        <v>42</v>
      </c>
      <c r="C24" t="s">
        <v>43</v>
      </c>
      <c r="H24" t="s">
        <v>65</v>
      </c>
      <c r="L24" s="43" t="s">
        <v>382</v>
      </c>
    </row>
    <row r="25" spans="1:12" x14ac:dyDescent="0.15">
      <c r="A25">
        <v>16</v>
      </c>
      <c r="B25" s="43"/>
      <c r="C25" t="s">
        <v>44</v>
      </c>
      <c r="L25" s="43" t="s">
        <v>382</v>
      </c>
    </row>
    <row r="26" spans="1:12" x14ac:dyDescent="0.15">
      <c r="A26">
        <v>17</v>
      </c>
      <c r="B26" s="43"/>
      <c r="C26" t="s">
        <v>45</v>
      </c>
      <c r="L26" s="43" t="s">
        <v>382</v>
      </c>
    </row>
    <row r="27" spans="1:12" x14ac:dyDescent="0.15">
      <c r="A27">
        <v>18</v>
      </c>
      <c r="B27" s="43"/>
      <c r="C27" t="s">
        <v>46</v>
      </c>
      <c r="H27" t="s">
        <v>378</v>
      </c>
      <c r="L27" s="43" t="s">
        <v>382</v>
      </c>
    </row>
    <row r="28" spans="1:12" x14ac:dyDescent="0.15">
      <c r="A28">
        <v>19</v>
      </c>
      <c r="B28" s="44" t="s">
        <v>47</v>
      </c>
      <c r="C28" t="s">
        <v>48</v>
      </c>
      <c r="L28" s="44" t="s">
        <v>383</v>
      </c>
    </row>
    <row r="29" spans="1:12" x14ac:dyDescent="0.15">
      <c r="A29">
        <v>20</v>
      </c>
      <c r="B29" s="44"/>
      <c r="C29" t="s">
        <v>49</v>
      </c>
      <c r="L29" s="44" t="s">
        <v>383</v>
      </c>
    </row>
    <row r="30" spans="1:12" x14ac:dyDescent="0.15">
      <c r="A30">
        <v>21</v>
      </c>
      <c r="B30" s="44"/>
      <c r="C30" t="s">
        <v>50</v>
      </c>
      <c r="L30" s="44" t="s">
        <v>383</v>
      </c>
    </row>
    <row r="31" spans="1:12" x14ac:dyDescent="0.15">
      <c r="A31">
        <v>23</v>
      </c>
      <c r="B31" s="42" t="s">
        <v>55</v>
      </c>
      <c r="C31" t="s">
        <v>349</v>
      </c>
      <c r="G31" s="4" t="s">
        <v>350</v>
      </c>
      <c r="H31" t="s">
        <v>51</v>
      </c>
      <c r="L31" s="42" t="s">
        <v>382</v>
      </c>
    </row>
    <row r="32" spans="1:12" x14ac:dyDescent="0.15">
      <c r="A32">
        <v>23</v>
      </c>
      <c r="B32" s="42"/>
      <c r="C32" t="s">
        <v>52</v>
      </c>
      <c r="H32" t="s">
        <v>53</v>
      </c>
      <c r="L32" s="42" t="s">
        <v>381</v>
      </c>
    </row>
    <row r="33" spans="1:12" x14ac:dyDescent="0.15">
      <c r="A33">
        <v>23</v>
      </c>
      <c r="B33" s="42"/>
      <c r="C33" t="s">
        <v>54</v>
      </c>
      <c r="H33" t="s">
        <v>53</v>
      </c>
      <c r="L33" s="42" t="s">
        <v>382</v>
      </c>
    </row>
    <row r="34" spans="1:12" x14ac:dyDescent="0.15">
      <c r="A34">
        <v>23</v>
      </c>
      <c r="B34" s="40" t="s">
        <v>56</v>
      </c>
      <c r="C34" t="s">
        <v>57</v>
      </c>
      <c r="H34" t="s">
        <v>58</v>
      </c>
      <c r="L34" s="40" t="s">
        <v>382</v>
      </c>
    </row>
    <row r="35" spans="1:12" x14ac:dyDescent="0.15">
      <c r="B35" s="40"/>
      <c r="C35" t="s">
        <v>63</v>
      </c>
      <c r="H35" t="s">
        <v>64</v>
      </c>
      <c r="L35" s="40" t="s">
        <v>381</v>
      </c>
    </row>
    <row r="36" spans="1:12" x14ac:dyDescent="0.15">
      <c r="A36">
        <v>23</v>
      </c>
      <c r="B36" s="40"/>
      <c r="C36" t="s">
        <v>384</v>
      </c>
      <c r="H36" t="s">
        <v>58</v>
      </c>
      <c r="L36" s="40" t="s">
        <v>381</v>
      </c>
    </row>
    <row r="37" spans="1:12" x14ac:dyDescent="0.15">
      <c r="B37" s="40"/>
      <c r="C37" t="s">
        <v>385</v>
      </c>
      <c r="H37" t="s">
        <v>351</v>
      </c>
      <c r="L37" s="40" t="s">
        <v>381</v>
      </c>
    </row>
    <row r="38" spans="1:12" x14ac:dyDescent="0.15">
      <c r="A38">
        <v>23</v>
      </c>
      <c r="B38" s="37" t="s">
        <v>59</v>
      </c>
      <c r="C38" t="s">
        <v>59</v>
      </c>
      <c r="H38" t="s">
        <v>376</v>
      </c>
      <c r="L38" s="37" t="s">
        <v>387</v>
      </c>
    </row>
    <row r="39" spans="1:12" x14ac:dyDescent="0.15">
      <c r="B39" s="37"/>
      <c r="C39" t="s">
        <v>60</v>
      </c>
      <c r="H39" t="s">
        <v>61</v>
      </c>
      <c r="L39" s="37" t="s">
        <v>387</v>
      </c>
    </row>
    <row r="40" spans="1:12" x14ac:dyDescent="0.15">
      <c r="B40" s="37"/>
      <c r="C40" t="s">
        <v>72</v>
      </c>
      <c r="H40" t="s">
        <v>377</v>
      </c>
      <c r="L40" s="37" t="s">
        <v>387</v>
      </c>
    </row>
    <row r="41" spans="1:12" x14ac:dyDescent="0.15">
      <c r="B41" t="s">
        <v>73</v>
      </c>
      <c r="C41" t="s">
        <v>74</v>
      </c>
      <c r="L41" s="37" t="s">
        <v>382</v>
      </c>
    </row>
    <row r="42" spans="1:12" x14ac:dyDescent="0.15">
      <c r="B42" s="40" t="s">
        <v>75</v>
      </c>
      <c r="C42" t="s">
        <v>77</v>
      </c>
      <c r="L42" s="40" t="s">
        <v>383</v>
      </c>
    </row>
    <row r="43" spans="1:12" x14ac:dyDescent="0.15">
      <c r="B43" s="37" t="s">
        <v>352</v>
      </c>
      <c r="C43" t="s">
        <v>353</v>
      </c>
      <c r="H43" t="s">
        <v>355</v>
      </c>
      <c r="L43" s="37" t="s">
        <v>388</v>
      </c>
    </row>
    <row r="44" spans="1:12" x14ac:dyDescent="0.15">
      <c r="B44" s="37"/>
      <c r="C44" t="s">
        <v>354</v>
      </c>
      <c r="L44" s="37" t="s">
        <v>387</v>
      </c>
    </row>
    <row r="45" spans="1:12" ht="27" x14ac:dyDescent="0.15">
      <c r="B45" s="37"/>
      <c r="C45" t="s">
        <v>356</v>
      </c>
      <c r="H45" s="2" t="s">
        <v>357</v>
      </c>
      <c r="L45" s="37" t="s">
        <v>387</v>
      </c>
    </row>
    <row r="46" spans="1:12" x14ac:dyDescent="0.15">
      <c r="B46" s="36" t="s">
        <v>358</v>
      </c>
      <c r="C46" t="s">
        <v>359</v>
      </c>
      <c r="H46" t="s">
        <v>360</v>
      </c>
      <c r="L46" s="36" t="s">
        <v>389</v>
      </c>
    </row>
    <row r="47" spans="1:12" x14ac:dyDescent="0.15">
      <c r="B47" s="36"/>
      <c r="C47" t="s">
        <v>361</v>
      </c>
      <c r="H47" t="s">
        <v>362</v>
      </c>
      <c r="L47" s="36" t="s">
        <v>387</v>
      </c>
    </row>
    <row r="48" spans="1:12" x14ac:dyDescent="0.15">
      <c r="B48" s="36"/>
      <c r="C48" t="s">
        <v>363</v>
      </c>
      <c r="L48" s="36" t="s">
        <v>382</v>
      </c>
    </row>
    <row r="49" spans="2:12" x14ac:dyDescent="0.15">
      <c r="B49" s="36"/>
      <c r="C49" t="s">
        <v>369</v>
      </c>
      <c r="H49" t="s">
        <v>370</v>
      </c>
      <c r="L49" s="36" t="s">
        <v>379</v>
      </c>
    </row>
    <row r="50" spans="2:12" x14ac:dyDescent="0.15">
      <c r="B50" s="45" t="s">
        <v>390</v>
      </c>
      <c r="C50" t="s">
        <v>365</v>
      </c>
      <c r="G50" t="s">
        <v>364</v>
      </c>
      <c r="L50" s="44" t="s">
        <v>391</v>
      </c>
    </row>
    <row r="51" spans="2:12" x14ac:dyDescent="0.15">
      <c r="B51" s="45"/>
      <c r="C51" t="s">
        <v>366</v>
      </c>
      <c r="G51" t="s">
        <v>367</v>
      </c>
      <c r="H51" t="s">
        <v>368</v>
      </c>
      <c r="L51" s="44" t="s">
        <v>382</v>
      </c>
    </row>
    <row r="52" spans="2:12" x14ac:dyDescent="0.15">
      <c r="B52" s="45"/>
      <c r="C52" t="s">
        <v>371</v>
      </c>
      <c r="L52" s="44" t="s">
        <v>381</v>
      </c>
    </row>
    <row r="53" spans="2:12" x14ac:dyDescent="0.15">
      <c r="B53" s="45"/>
      <c r="C53" t="s">
        <v>372</v>
      </c>
      <c r="L53" s="44" t="s">
        <v>383</v>
      </c>
    </row>
    <row r="54" spans="2:12" x14ac:dyDescent="0.15">
      <c r="B54" s="45"/>
      <c r="C54" t="s">
        <v>373</v>
      </c>
      <c r="L54" s="44" t="s">
        <v>382</v>
      </c>
    </row>
    <row r="55" spans="2:12" x14ac:dyDescent="0.15">
      <c r="B55" s="45"/>
      <c r="C55" t="s">
        <v>380</v>
      </c>
      <c r="L55" s="44" t="s">
        <v>387</v>
      </c>
    </row>
  </sheetData>
  <mergeCells count="1">
    <mergeCell ref="B50:B5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总计</vt:lpstr>
      <vt:lpstr>修复</vt:lpstr>
      <vt:lpstr>pc端</vt:lpstr>
      <vt:lpstr>口头告知问题</vt:lpstr>
      <vt:lpstr>H5</vt:lpstr>
      <vt:lpstr>pc端回归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2018-09-04T11:58:42Z</dcterms:modified>
</cp:coreProperties>
</file>